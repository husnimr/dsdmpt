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dm-f\Downloads\"/>
    </mc:Choice>
  </mc:AlternateContent>
  <xr:revisionPtr revIDLastSave="0" documentId="13_ncr:1_{16B78CA4-0213-45DD-9F2D-2544C31CE8EF}" xr6:coauthVersionLast="47" xr6:coauthVersionMax="47" xr10:uidLastSave="{00000000-0000-0000-0000-000000000000}"/>
  <bookViews>
    <workbookView xWindow="-110" yWindow="-110" windowWidth="19420" windowHeight="12220" firstSheet="1" activeTab="1" xr2:uid="{00000000-000D-0000-FFFF-FFFF00000000}"/>
  </bookViews>
  <sheets>
    <sheet name="pembagian asesor" sheetId="1" state="hidden" r:id="rId1"/>
    <sheet name="Pembagian Asesor FIX" sheetId="12" r:id="rId2"/>
    <sheet name="Rekapitulasi" sheetId="25" r:id="rId3"/>
    <sheet name="nama asesor" sheetId="2" r:id="rId4"/>
    <sheet name="Sheet3" sheetId="3" state="hidden" r:id="rId5"/>
  </sheets>
  <definedNames>
    <definedName name="_xlnm._FilterDatabase" localSheetId="0" hidden="1">'pembagian asesor'!$A$6:$H$183</definedName>
    <definedName name="_xlnm._FilterDatabase" localSheetId="1" hidden="1">'Pembagian Asesor FIX'!$A$6:$G$168</definedName>
    <definedName name="_xlnm.Print_Area" localSheetId="0">'pembagian asesor'!$A$1:$G$191</definedName>
    <definedName name="_xlnm.Print_Area" localSheetId="1">'Pembagian Asesor FIX'!$A$1:$G$195</definedName>
    <definedName name="_xlnm.Print_Titles" localSheetId="0">'pembagian asesor'!$6:$6</definedName>
    <definedName name="_xlnm.Print_Titles" localSheetId="1">'Pembagian Asesor FIX'!$6:$6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8" i="25" l="1"/>
  <c r="F13" i="25"/>
  <c r="F14" i="25"/>
  <c r="M12" i="25"/>
  <c r="M11" i="25"/>
  <c r="K35" i="25"/>
  <c r="K26" i="25"/>
  <c r="M19" i="25"/>
  <c r="M20" i="25" s="1"/>
  <c r="M18" i="25"/>
  <c r="M5" i="25"/>
  <c r="K31" i="25" s="1"/>
  <c r="M6" i="25"/>
  <c r="M7" i="25"/>
  <c r="M8" i="25"/>
  <c r="M9" i="25"/>
  <c r="M10" i="25"/>
  <c r="M4" i="25"/>
  <c r="F19" i="25"/>
  <c r="F20" i="25"/>
  <c r="F21" i="25"/>
  <c r="K30" i="25" s="1"/>
  <c r="F22" i="25"/>
  <c r="F23" i="25"/>
  <c r="F24" i="25"/>
  <c r="F18" i="25"/>
  <c r="K34" i="25" s="1"/>
  <c r="F5" i="25"/>
  <c r="F6" i="25"/>
  <c r="F7" i="25"/>
  <c r="F8" i="25"/>
  <c r="K27" i="25" s="1"/>
  <c r="F9" i="25"/>
  <c r="K25" i="25" s="1"/>
  <c r="F10" i="25"/>
  <c r="F11" i="25"/>
  <c r="K36" i="25" s="1"/>
  <c r="F12" i="25"/>
  <c r="K29" i="25" s="1"/>
  <c r="F4" i="25"/>
  <c r="K24" i="25" s="1"/>
  <c r="L20" i="2"/>
  <c r="L19" i="2"/>
  <c r="K32" i="25" l="1"/>
  <c r="F25" i="25"/>
  <c r="K33" i="25"/>
</calcChain>
</file>

<file path=xl/sharedStrings.xml><?xml version="1.0" encoding="utf-8"?>
<sst xmlns="http://schemas.openxmlformats.org/spreadsheetml/2006/main" count="2314" uniqueCount="604">
  <si>
    <t xml:space="preserve">DAFTAR NAMA DOSEN DAN ASESOR BEBAN KERJA DOSEN (BKD) </t>
  </si>
  <si>
    <t xml:space="preserve">FAKULTAS ILMU PENGETAHUAN BUDAYA </t>
  </si>
  <si>
    <t>UNIVERSITAS INDONESIA</t>
  </si>
  <si>
    <t>SEMESTER GENAP 2024/2025</t>
  </si>
  <si>
    <t>No</t>
  </si>
  <si>
    <t>Nama Dosen</t>
  </si>
  <si>
    <t>NIP/NUP</t>
  </si>
  <si>
    <t>NIDN / NUPTK</t>
  </si>
  <si>
    <t>Departemen/Program Studi/Bidang Studi</t>
  </si>
  <si>
    <t>Nama Asesor 1</t>
  </si>
  <si>
    <t>Nama Asesor 2</t>
  </si>
  <si>
    <t>Abdul Muta'ali, S.H.., M.A., Ph.D</t>
  </si>
  <si>
    <t>198005272015041001</t>
  </si>
  <si>
    <t>0027058006</t>
  </si>
  <si>
    <t>ARAB</t>
  </si>
  <si>
    <t>Sedang Menjadi Atase di Mesir</t>
  </si>
  <si>
    <t>Dr. Ade Solihat, S.S., M.A.</t>
  </si>
  <si>
    <t>070603008</t>
  </si>
  <si>
    <t>0304047305</t>
  </si>
  <si>
    <t>Eva Latifah, S.S., Ph.D.</t>
  </si>
  <si>
    <t>Dr. Mochamad Aviandy, S.Hum., M.Hum.</t>
  </si>
  <si>
    <t>Dr. Basuni Imamuddin, S.S., M.A.</t>
  </si>
  <si>
    <t>196103081992031001</t>
  </si>
  <si>
    <t>0008036102</t>
  </si>
  <si>
    <t>Dr. Nina Mayesti, S.S., S. Kom., M.Hum.</t>
  </si>
  <si>
    <t>Dr. Priscila Fitriasih Limbong, S.S., M.Hum.</t>
  </si>
  <si>
    <t>Prof. Dr. Maman Lesmana, S.S., M.Hum., S.S., M.Hum.</t>
  </si>
  <si>
    <t>196110221987031002</t>
  </si>
  <si>
    <t>0022106108</t>
  </si>
  <si>
    <t>Prof. Ir. Bernardus Yuliarto Nugroho, MSM., Ph.D.</t>
  </si>
  <si>
    <t>Prof. Dr. Achmad Nizar Hidayanto, S.Kom., M.Kom.</t>
  </si>
  <si>
    <t>Prof. Dr. Apipudin, M.Hum.</t>
  </si>
  <si>
    <t>196202081988111002</t>
  </si>
  <si>
    <t>0008026205</t>
  </si>
  <si>
    <t>Dr. Thera Widyastuti, S.S., M.Hum.</t>
  </si>
  <si>
    <t>Gina Najjah Hajidah, M.Hum.</t>
  </si>
  <si>
    <t>198912072020122013</t>
  </si>
  <si>
    <t>0007128911</t>
  </si>
  <si>
    <t>Dr. Naupal, S.S., M.Hum.</t>
  </si>
  <si>
    <t>Letmiros, M.Hum., M.A.</t>
  </si>
  <si>
    <t>196309061990031002</t>
  </si>
  <si>
    <t>0006096303</t>
  </si>
  <si>
    <t>Bastian Zulyeno, M.A., Ph.D.</t>
  </si>
  <si>
    <t>100111610291701891</t>
  </si>
  <si>
    <t>0019078106</t>
  </si>
  <si>
    <t>Dr. Abdurakhman, M.Hum.</t>
  </si>
  <si>
    <t>Prof. Muhammad Luthfi, Ph.D.</t>
  </si>
  <si>
    <t>195711221994031001</t>
  </si>
  <si>
    <t>0022115704</t>
  </si>
  <si>
    <t>Prof. Yon Machmudi, Ph.D.</t>
  </si>
  <si>
    <t>Siti Rohmah, S.S., S.Pd., M.Hum.</t>
  </si>
  <si>
    <t>196402091990032001</t>
  </si>
  <si>
    <t>0009026405</t>
  </si>
  <si>
    <t>Drs. Suranta, M.Hum.</t>
  </si>
  <si>
    <t>196102011989031003</t>
  </si>
  <si>
    <t>0001026105</t>
  </si>
  <si>
    <t>Wiwin Triwinarti, M.A.</t>
  </si>
  <si>
    <t>196204131989032003</t>
  </si>
  <si>
    <t>0013046207</t>
  </si>
  <si>
    <t>Dr. M. Zulifan, S.Hum., PGDip.</t>
  </si>
  <si>
    <t>198107312025073001</t>
  </si>
  <si>
    <t>1063759660131173</t>
  </si>
  <si>
    <t>06009050357</t>
  </si>
  <si>
    <t>0317097303</t>
  </si>
  <si>
    <t>Dr. Ali Akbar, S.S., M.Hum.</t>
  </si>
  <si>
    <t>0707050197</t>
  </si>
  <si>
    <t>0307117506</t>
  </si>
  <si>
    <t>ARKEOLOGI</t>
  </si>
  <si>
    <t>Dr. Chaidir Ashari, M.Hum.</t>
  </si>
  <si>
    <t>100111610232707891</t>
  </si>
  <si>
    <t>0023078704</t>
  </si>
  <si>
    <t>Dian Sulistyowati, S.Hum., M.Hum.</t>
  </si>
  <si>
    <t>198207122015042002</t>
  </si>
  <si>
    <t>0312078203</t>
  </si>
  <si>
    <t>Dr. Agi Ginanjar, S.S., M.Si.</t>
  </si>
  <si>
    <t>070603012</t>
  </si>
  <si>
    <t>0016035902</t>
  </si>
  <si>
    <t>Dr. Andriyati Rahayu, S.Hum., M.Hum.</t>
  </si>
  <si>
    <t>198101232015042003</t>
  </si>
  <si>
    <t>0023018105</t>
  </si>
  <si>
    <t>Dr. Andri Purnomo, S.S., M.Sc.</t>
  </si>
  <si>
    <t>197409252021103001</t>
  </si>
  <si>
    <t>0025097407</t>
  </si>
  <si>
    <t>Dr. Isman Pratama Nasution, S.S., M.Si.</t>
  </si>
  <si>
    <t>196205051989031006</t>
  </si>
  <si>
    <t>0005056208</t>
  </si>
  <si>
    <t>Dr. Ghilman Assilmi, M.Hum.</t>
  </si>
  <si>
    <t>100111610210509891</t>
  </si>
  <si>
    <t>0001058904</t>
  </si>
  <si>
    <t>Prof. Dr. Agus Aris Munandar, M.Hum.</t>
  </si>
  <si>
    <t>195907131986021001</t>
  </si>
  <si>
    <t>0013075903</t>
  </si>
  <si>
    <t>Prof. Dr. Irmawati Marwoto, S.S., M.S.</t>
  </si>
  <si>
    <t>195612011985032001</t>
  </si>
  <si>
    <t>0001125607</t>
  </si>
  <si>
    <t>Prof. Dr. R. Cecep Eka Permana, S.S.</t>
  </si>
  <si>
    <t>196505311991031001</t>
  </si>
  <si>
    <t>0031056501</t>
  </si>
  <si>
    <t>Ajeng Ayu Arainikasih, S.Hum., M.A.</t>
  </si>
  <si>
    <t>100220310220013891</t>
  </si>
  <si>
    <t>0302108301</t>
  </si>
  <si>
    <t>Andrea Pradsna Paramita Djarwo, S.S., M.A.</t>
  </si>
  <si>
    <t>196504262000122001</t>
  </si>
  <si>
    <t>0026046505</t>
  </si>
  <si>
    <t>BELANDA</t>
  </si>
  <si>
    <t>Barbara Elisabeth Lucia Pesulima, S.S., M.Hum.</t>
  </si>
  <si>
    <t>196407081994032001</t>
  </si>
  <si>
    <t>0008076405</t>
  </si>
  <si>
    <t>Dr. R. Achmad Sunjayadi, S.S.., M.Hum</t>
  </si>
  <si>
    <t>0707050256</t>
  </si>
  <si>
    <t>0311057308</t>
  </si>
  <si>
    <t>Dr. Triaswarin Sutanarihesti, S.S., M.Hum.</t>
  </si>
  <si>
    <t>0706050097</t>
  </si>
  <si>
    <t>0313047208</t>
  </si>
  <si>
    <t>Dr. Zahroh Nuriah, S.S., M.A.</t>
  </si>
  <si>
    <t>0706050149</t>
  </si>
  <si>
    <t>0320087406</t>
  </si>
  <si>
    <t>Fajar Muhammad Nugraha, S.Hum., M.Si.</t>
  </si>
  <si>
    <t>070903003</t>
  </si>
  <si>
    <t>0018048502</t>
  </si>
  <si>
    <t>Dr. Indira Ismail, S.S., M.A.</t>
  </si>
  <si>
    <t>0706050147</t>
  </si>
  <si>
    <t>0327117507</t>
  </si>
  <si>
    <t>Dr. Lilie Mundalifah Roosman</t>
  </si>
  <si>
    <t>196409201994032001</t>
  </si>
  <si>
    <t>0020096403</t>
  </si>
  <si>
    <t>Eliza Gustinelly, S.S., M.A.</t>
  </si>
  <si>
    <t>196108041993032001</t>
  </si>
  <si>
    <t>0004086105</t>
  </si>
  <si>
    <t>Dr. Munif Yusuf, S.S., M.Hum.</t>
  </si>
  <si>
    <t>'197005092009121001</t>
  </si>
  <si>
    <t>0009057001</t>
  </si>
  <si>
    <t>Dr. Adi Kristina Wulandari, S.S., M.Hum.</t>
  </si>
  <si>
    <t>0707050223</t>
  </si>
  <si>
    <t>0303117703</t>
  </si>
  <si>
    <t>CINA</t>
  </si>
  <si>
    <t>Prof. Dr. R. Tuty Nur Mutia, S.S.., M.Hum</t>
  </si>
  <si>
    <t>195907221989032001</t>
  </si>
  <si>
    <t>0022075905</t>
  </si>
  <si>
    <t>Dr. Rahadjeng Pulungsari Hadi, M.Hum.</t>
  </si>
  <si>
    <t>196308171990032002</t>
  </si>
  <si>
    <t>0017086304</t>
  </si>
  <si>
    <t>Hana Nurul Hasanah, M.Hum.</t>
  </si>
  <si>
    <t>100211610261103891</t>
  </si>
  <si>
    <t>0016018307</t>
  </si>
  <si>
    <t>Nurni Wahyu Wuryandari, M.Hum., Ph.D.</t>
  </si>
  <si>
    <t>196101291990032001</t>
  </si>
  <si>
    <t>0029016102</t>
  </si>
  <si>
    <t>Prof. Dr. A.M.Hermina Sutami, S.S.., M.Hum</t>
  </si>
  <si>
    <t>195702151982112001</t>
  </si>
  <si>
    <t>0015025701</t>
  </si>
  <si>
    <t>Dilah Kencono, M.Si.</t>
  </si>
  <si>
    <t>0706050107</t>
  </si>
  <si>
    <t>0331056607</t>
  </si>
  <si>
    <t>Hatmi Idris, S.S., M.A.</t>
  </si>
  <si>
    <t>070703023</t>
  </si>
  <si>
    <t>0031087704</t>
  </si>
  <si>
    <t>Uti Aryanti, S.S., M.Hum.</t>
  </si>
  <si>
    <t>197807232010122003</t>
  </si>
  <si>
    <t>0023077801</t>
  </si>
  <si>
    <t>Agni Malagina, M.Hum.</t>
  </si>
  <si>
    <t>070603107</t>
  </si>
  <si>
    <t>0026127904</t>
  </si>
  <si>
    <t>Dr. Fristian Hadinata, S.Hum., M.Hum.</t>
  </si>
  <si>
    <t>198608022014041001</t>
  </si>
  <si>
    <t>0002088601</t>
  </si>
  <si>
    <t>FILSAFAT</t>
  </si>
  <si>
    <t>Dr. Harsawibawa Albertus, M.Hum.</t>
  </si>
  <si>
    <t>0706050109</t>
  </si>
  <si>
    <t>0326056805</t>
  </si>
  <si>
    <t>Dr. Herdito Sandi Pratama, M.Hum.</t>
  </si>
  <si>
    <t>100111610240806891</t>
  </si>
  <si>
    <t>0004088602</t>
  </si>
  <si>
    <t>Dr. LG. Saraswati Putri, S.Hum</t>
  </si>
  <si>
    <t>198309162009122006</t>
  </si>
  <si>
    <t>0316098303</t>
  </si>
  <si>
    <t>197106131999031001</t>
  </si>
  <si>
    <t>0013067102</t>
  </si>
  <si>
    <t>Ikhaputri Widiantini, S.Hum., M.Si.</t>
  </si>
  <si>
    <t>100211610220704891</t>
  </si>
  <si>
    <t>0002078402</t>
  </si>
  <si>
    <t>James Farlow Mendrofa, M.Hum.</t>
  </si>
  <si>
    <t>100111610281506891</t>
  </si>
  <si>
    <t>0018058602</t>
  </si>
  <si>
    <t>Dr. Donny Gahral Adian, M.Hum.</t>
  </si>
  <si>
    <t>0330087404</t>
  </si>
  <si>
    <t>Dr. Ganang Dwi Kartika, S.S., M.Hum.</t>
  </si>
  <si>
    <t>196406151990031006</t>
  </si>
  <si>
    <t>0015066405</t>
  </si>
  <si>
    <t>Dr. Meutia Irina Mukhlis, S.Sos., M.Si.</t>
  </si>
  <si>
    <t>198310142023034001</t>
  </si>
  <si>
    <t>0014108308</t>
  </si>
  <si>
    <t>Dr. Abby Gina Boang Manalu, M.Hum.</t>
  </si>
  <si>
    <t>199001152023094001</t>
  </si>
  <si>
    <t>0315019004</t>
  </si>
  <si>
    <t>Haekal Pradifa Furqon, S.E., M.Hum.</t>
  </si>
  <si>
    <t>199707092024061001</t>
  </si>
  <si>
    <t>6041775676130193</t>
  </si>
  <si>
    <t>Dr. Fuad Gani, S.S., M.A</t>
  </si>
  <si>
    <t>196311232000121001</t>
  </si>
  <si>
    <t>0023116303</t>
  </si>
  <si>
    <t>ILMU PERPUSTAKAAN</t>
  </si>
  <si>
    <t>Dr. Ike Iswary Lawanda, S.S., M.S.</t>
  </si>
  <si>
    <t>196206161987032003</t>
  </si>
  <si>
    <t>0016066210</t>
  </si>
  <si>
    <t>0706050116</t>
  </si>
  <si>
    <t>0305096804</t>
  </si>
  <si>
    <t>Dr. Tamara Adriani Salim, S.S., M.A.</t>
  </si>
  <si>
    <t>0706050148</t>
  </si>
  <si>
    <t>0311026404</t>
  </si>
  <si>
    <t>Kiki Fauziah, M.Hum.</t>
  </si>
  <si>
    <t>100211610220601991</t>
  </si>
  <si>
    <t>0002069101</t>
  </si>
  <si>
    <t>Prof. Dr. Laksmi, S.S., M.A.</t>
  </si>
  <si>
    <t>0706050152</t>
  </si>
  <si>
    <t>0005036605</t>
  </si>
  <si>
    <t>Margareta Aulia Rachman, M.Hum.</t>
  </si>
  <si>
    <t>198703252019032013</t>
  </si>
  <si>
    <t>0325038702</t>
  </si>
  <si>
    <t>Rahmi, S.Hum., M.Sc., Ph.D.</t>
  </si>
  <si>
    <t>199109302020122013</t>
  </si>
  <si>
    <t>0030099104</t>
  </si>
  <si>
    <t>Dr. Taufik Asmiyanto, M.Si.</t>
  </si>
  <si>
    <t>197507122009121002</t>
  </si>
  <si>
    <t>0312077502</t>
  </si>
  <si>
    <t>Yeni Budi Rachman, M.Hum.</t>
  </si>
  <si>
    <t>100220310250117891</t>
  </si>
  <si>
    <t>0305118701</t>
  </si>
  <si>
    <t>Ari Nugraha, S.Hum., M.T.I.</t>
  </si>
  <si>
    <t>198212062015041001</t>
  </si>
  <si>
    <t>0306128202</t>
  </si>
  <si>
    <t>Muhamad Prabu Wibowo, S.Hum., M.Sc., Ph.D.</t>
  </si>
  <si>
    <t>198701272024061001</t>
  </si>
  <si>
    <t>3459765666131142</t>
  </si>
  <si>
    <t>M. Hanif Inamullah, S.Hum., M.Si.</t>
  </si>
  <si>
    <t>199201042024061001</t>
  </si>
  <si>
    <t>5436770671130292</t>
  </si>
  <si>
    <t>Wiwit Ratnasari, S.Hum., M.T.I., Ph.D.</t>
  </si>
  <si>
    <t>199110022024114001</t>
  </si>
  <si>
    <t>2334769670230323</t>
  </si>
  <si>
    <t>Daniel Hariman Jacob, M.Hum</t>
  </si>
  <si>
    <t>070603192</t>
  </si>
  <si>
    <t>0030047502</t>
  </si>
  <si>
    <t>INDONESIA</t>
  </si>
  <si>
    <t>Dien Rovita, M.Hum.</t>
  </si>
  <si>
    <t>079703003</t>
  </si>
  <si>
    <t>0001117104</t>
  </si>
  <si>
    <t>Dr. Frans Asisi Datang, S.S., M.Hum.</t>
  </si>
  <si>
    <t>196209061992031003</t>
  </si>
  <si>
    <t>0006096205</t>
  </si>
  <si>
    <t>Dr. Kushartanti, M.Hum.</t>
  </si>
  <si>
    <t>0706050105</t>
  </si>
  <si>
    <t>0327086905</t>
  </si>
  <si>
    <t>Dr. Mamlahatun Buduroh, S.S., M.Hum.</t>
  </si>
  <si>
    <t>0707050202</t>
  </si>
  <si>
    <t>0301057703</t>
  </si>
  <si>
    <t>Dr. Syahrial, S.S., M.Hum.</t>
  </si>
  <si>
    <t>0707050194</t>
  </si>
  <si>
    <t>0307106402</t>
  </si>
  <si>
    <t>Dr. Untung Yuwono, S.S., M.Hum.</t>
  </si>
  <si>
    <t>0706050102</t>
  </si>
  <si>
    <t>0327027302</t>
  </si>
  <si>
    <t>Dr. Sri Munawarah, S.S., M.Hum.</t>
  </si>
  <si>
    <t>196803171999032001</t>
  </si>
  <si>
    <t>0017036803</t>
  </si>
  <si>
    <t>0706050103</t>
  </si>
  <si>
    <t>0321117104</t>
  </si>
  <si>
    <t>Mohammad Umar Muslim, S.S., M.A., Ph.D.</t>
  </si>
  <si>
    <t>196510151991031002</t>
  </si>
  <si>
    <t>0015106504</t>
  </si>
  <si>
    <t>Ratna Djumala, M.Hum</t>
  </si>
  <si>
    <t>070603193</t>
  </si>
  <si>
    <t>0310017504</t>
  </si>
  <si>
    <t>Silva Tenrisara Pertiwi Isma, S.Hum., M.A.</t>
  </si>
  <si>
    <t>198410062021104001</t>
  </si>
  <si>
    <t>0006108403</t>
  </si>
  <si>
    <t>Nazarudin, S.Hum., M.A.</t>
  </si>
  <si>
    <t>070503012</t>
  </si>
  <si>
    <t>0324058301</t>
  </si>
  <si>
    <t>Nitrasattri Handayani, M.Hum.</t>
  </si>
  <si>
    <t>196303021989032002</t>
  </si>
  <si>
    <t>0002036304</t>
  </si>
  <si>
    <t>R. Niken Pramanik, S.S., M.Hum.</t>
  </si>
  <si>
    <t>197403112008122001</t>
  </si>
  <si>
    <t>0011037402</t>
  </si>
  <si>
    <t>Dr. Rias Antho Rahmi Suharjo, S.S., M.A.</t>
  </si>
  <si>
    <t>198707292024062001</t>
  </si>
  <si>
    <t>8061765666230253</t>
  </si>
  <si>
    <t>Adriana Rahajeng Mintarsih, S.Hum., M.Si.</t>
  </si>
  <si>
    <t>100211610212806891</t>
  </si>
  <si>
    <t>0021088604</t>
  </si>
  <si>
    <t>INGGRIS</t>
  </si>
  <si>
    <t>Andika Wijaya, S.Hum., M.TransInterp.</t>
  </si>
  <si>
    <t>100120710271607891</t>
  </si>
  <si>
    <t>0017068704</t>
  </si>
  <si>
    <t>Asri Saraswati, M.Hum., Ph.D.</t>
  </si>
  <si>
    <t>070603198</t>
  </si>
  <si>
    <t>0322128303</t>
  </si>
  <si>
    <t>Bayu Kristianto, S.S., M.A., Ph.D.</t>
  </si>
  <si>
    <t>070103003</t>
  </si>
  <si>
    <t>0025027804</t>
  </si>
  <si>
    <t>Dr. Dhita Hapsarani, S.S., M.Hum.</t>
  </si>
  <si>
    <t>196402011989032002</t>
  </si>
  <si>
    <t>0001026412</t>
  </si>
  <si>
    <t>Haru Deliana Dewi, S.S., M.Hum., Ph.D.</t>
  </si>
  <si>
    <t>0707050195</t>
  </si>
  <si>
    <t>0305127503</t>
  </si>
  <si>
    <t>Harumi Manik Ayu Yamin, M.Hum.</t>
  </si>
  <si>
    <t>070703030</t>
  </si>
  <si>
    <t>0011078405</t>
  </si>
  <si>
    <t>Harwintha Yuhria Anjarningsih, S.Hum., M.Sc., Ph.D.</t>
  </si>
  <si>
    <t>070703012</t>
  </si>
  <si>
    <t>0002038106</t>
  </si>
  <si>
    <t>Inditian Latifa, S.Hum., M.A.</t>
  </si>
  <si>
    <t>100211610252107891</t>
  </si>
  <si>
    <t>0025018704</t>
  </si>
  <si>
    <t>Iswahyudi, S.S.., M.A</t>
  </si>
  <si>
    <t>196602191991031003</t>
  </si>
  <si>
    <t>0019026603</t>
  </si>
  <si>
    <t>Dr. Junaidi, S.S., M.A</t>
  </si>
  <si>
    <t>196901102000031001</t>
  </si>
  <si>
    <t>0010016907</t>
  </si>
  <si>
    <t>`</t>
  </si>
  <si>
    <t>Lucia Lusi Ani Handayani, S.Pd., M.A., M.App.Ling.</t>
  </si>
  <si>
    <t>0708050278</t>
  </si>
  <si>
    <t>0317066902</t>
  </si>
  <si>
    <t>Marti Fauziah Ariastuti, S.S.., M.Hum</t>
  </si>
  <si>
    <t>070603056</t>
  </si>
  <si>
    <t>0028036504</t>
  </si>
  <si>
    <t>Shuri Mariasih Gietty, M.Hum., M.A., Ph.D.</t>
  </si>
  <si>
    <t>070503008</t>
  </si>
  <si>
    <t>0006048201</t>
  </si>
  <si>
    <t>Sisilia Setiawati Halimi, S.S., M.A., Ph.D.</t>
  </si>
  <si>
    <t>196105231990032001</t>
  </si>
  <si>
    <t>0023056105</t>
  </si>
  <si>
    <t>Herlin Putri Indah Destari, S.Hum., M.A.</t>
  </si>
  <si>
    <t>100211610242215891</t>
  </si>
  <si>
    <t>0024128503</t>
  </si>
  <si>
    <t>Nila Ayu Utami, S.Hum., M.A.</t>
  </si>
  <si>
    <t>100211610291806891</t>
  </si>
  <si>
    <t>0019088604</t>
  </si>
  <si>
    <t>Prof. Manneke Budiman, S.S., M.A., Ph.D.</t>
  </si>
  <si>
    <t>196511171993031002</t>
  </si>
  <si>
    <t>0017116504</t>
  </si>
  <si>
    <t>Yasmine Anabel Panjaitan, S.Hum., M.Hum.</t>
  </si>
  <si>
    <t>070803016</t>
  </si>
  <si>
    <t>0328068402</t>
  </si>
  <si>
    <t>Teraya Paramehta, S.Hum., M.A.</t>
  </si>
  <si>
    <t>198501142015042002</t>
  </si>
  <si>
    <t>0014018501</t>
  </si>
  <si>
    <t>Dr. Ari Prasetiyo, S.S., M.Si.</t>
  </si>
  <si>
    <t>0707050254</t>
  </si>
  <si>
    <t>0306057602</t>
  </si>
  <si>
    <t>JAWA</t>
  </si>
  <si>
    <t>Prof. Dr. Darmoko, S.S., M.Hum.</t>
  </si>
  <si>
    <t>196110251990031001</t>
  </si>
  <si>
    <t>0025106104</t>
  </si>
  <si>
    <t>Dr. Drs. I Made Suparta, M.Hum.</t>
  </si>
  <si>
    <t>196712311993031013</t>
  </si>
  <si>
    <t>0031126732</t>
  </si>
  <si>
    <t>Dr. Munawar Holil, S.S., M.Hum.</t>
  </si>
  <si>
    <t>0706050100</t>
  </si>
  <si>
    <t>0309066903</t>
  </si>
  <si>
    <t>Dr. Turita Indah Setyani, S.S., M.Hum.</t>
  </si>
  <si>
    <t>196101081990032001</t>
  </si>
  <si>
    <t>0008016105</t>
  </si>
  <si>
    <t>Murni Widyastuti, S.S., M.Hum.</t>
  </si>
  <si>
    <t>196103111988032002</t>
  </si>
  <si>
    <t>0011036106</t>
  </si>
  <si>
    <t>Novika Stri Wrihatni, S.S., M.Hum.</t>
  </si>
  <si>
    <t>0706050095</t>
  </si>
  <si>
    <t>0303117204</t>
  </si>
  <si>
    <t>Widhyasmaramurti, S.S., M.A.</t>
  </si>
  <si>
    <t>070603087</t>
  </si>
  <si>
    <t>0320047902</t>
  </si>
  <si>
    <t>Dr. Atin Fitriana, S.Hum., M.Hum.</t>
  </si>
  <si>
    <t>199004182023034001</t>
  </si>
  <si>
    <t>0018049003</t>
  </si>
  <si>
    <t>Dr. Dwi Puspitorini, S.S., M.Hum.</t>
  </si>
  <si>
    <t>196410111990032001</t>
  </si>
  <si>
    <t>0011106405</t>
  </si>
  <si>
    <t>Dwi Rahmawanto, S.Hum., M.Hum.</t>
  </si>
  <si>
    <t>199203072024061002</t>
  </si>
  <si>
    <t>7639770671130312</t>
  </si>
  <si>
    <t>Ariestyani Wahyu Perwitasari, S.Hum., M.Si.</t>
  </si>
  <si>
    <t>070603016</t>
  </si>
  <si>
    <t>0021038007</t>
  </si>
  <si>
    <t>JEPANG</t>
  </si>
  <si>
    <t>Dewi Anggraeni, S.Hum., M.Hum., Ph.D.</t>
  </si>
  <si>
    <t>198308262010122002</t>
  </si>
  <si>
    <t>0026088301</t>
  </si>
  <si>
    <t>Dr. Filia, S.S., M.Si.</t>
  </si>
  <si>
    <t>0708050279</t>
  </si>
  <si>
    <t>0329017902</t>
  </si>
  <si>
    <t>Dr. Lea Santiar, M.Ed.</t>
  </si>
  <si>
    <t>196201271992032001</t>
  </si>
  <si>
    <t>0027016206</t>
  </si>
  <si>
    <t>Himawan Pratama, S.Hum., M.Si., Ph.D.</t>
  </si>
  <si>
    <t>100111610251406891</t>
  </si>
  <si>
    <t>0015048603</t>
  </si>
  <si>
    <t>Prof. Dr. Bambang Wibawarta, S.S., M.A.</t>
  </si>
  <si>
    <t>196510231990031002</t>
  </si>
  <si>
    <t>0023106503</t>
  </si>
  <si>
    <t>Rouli Esther, S.S., M.Si., M.A., Ph.D.</t>
  </si>
  <si>
    <t>197804072021094001</t>
  </si>
  <si>
    <t>0007047803</t>
  </si>
  <si>
    <t>Aldrie Alman Drajat, S.Hum., M.Hum.</t>
  </si>
  <si>
    <t>100111610291210991</t>
  </si>
  <si>
    <t>0019129001</t>
  </si>
  <si>
    <t>Sri Ayu Wulansari, S.S., M.Si.</t>
  </si>
  <si>
    <t>070603080</t>
  </si>
  <si>
    <t>0027037504</t>
  </si>
  <si>
    <t>Dias Rifanza, M.Hum.</t>
  </si>
  <si>
    <t>100111610262705891</t>
  </si>
  <si>
    <t>0026078505</t>
  </si>
  <si>
    <t>JERMAN</t>
  </si>
  <si>
    <t>Dr. Maria Regina Widhiasti, S.Hum., M.Hum.</t>
  </si>
  <si>
    <t>070603139</t>
  </si>
  <si>
    <t>0301088201</t>
  </si>
  <si>
    <t>Dr. Sonya Puspasari Suganda, S.S., M.A.</t>
  </si>
  <si>
    <t>197704172010122002</t>
  </si>
  <si>
    <t>0317047702</t>
  </si>
  <si>
    <t>Lily Tjahjandari, S.S., M.Hum., Ph.D.</t>
  </si>
  <si>
    <t>070703029</t>
  </si>
  <si>
    <t>0303017103</t>
  </si>
  <si>
    <t>Lisda Liyanti, S.Hum., M.A.</t>
  </si>
  <si>
    <t>100220310231104891</t>
  </si>
  <si>
    <t>0313018402</t>
  </si>
  <si>
    <t>Muhammad Arie Andhiko Ajie, S.Hum., M.A. Ph.D.</t>
  </si>
  <si>
    <t>198201312015041001</t>
  </si>
  <si>
    <t>0331018202</t>
  </si>
  <si>
    <t>Prof. Dr. Lilawati Kurnia, M.A.</t>
  </si>
  <si>
    <t>195807021985032001</t>
  </si>
  <si>
    <t>0002075805</t>
  </si>
  <si>
    <t>Julia Wulandari, S.Hum., M.Hum.</t>
  </si>
  <si>
    <t>198407132014042001</t>
  </si>
  <si>
    <t>0313078403</t>
  </si>
  <si>
    <t>Talitha Ardelia Syifa Rabbani, S.Hum., M.Hum.</t>
  </si>
  <si>
    <t>199305182024062002</t>
  </si>
  <si>
    <t>1850771672230322</t>
  </si>
  <si>
    <t>079903002</t>
  </si>
  <si>
    <t>0030117602</t>
  </si>
  <si>
    <t>KOREA</t>
  </si>
  <si>
    <t>Fadhila Hasby, M.A.</t>
  </si>
  <si>
    <t>100220310202014891</t>
  </si>
  <si>
    <t>0320108404</t>
  </si>
  <si>
    <t>Putu Pramania Adnyana, S.Hum., M.A.</t>
  </si>
  <si>
    <t>100211610241808891</t>
  </si>
  <si>
    <t>0014088801</t>
  </si>
  <si>
    <t>Dr. Rostineu, S.S., M.A.</t>
  </si>
  <si>
    <t>197903082014042001</t>
  </si>
  <si>
    <t>0308037901</t>
  </si>
  <si>
    <t>Usmi, S.Pd., M.Hum., Ph.D.</t>
  </si>
  <si>
    <t>070703019</t>
  </si>
  <si>
    <t>0003117408</t>
  </si>
  <si>
    <t>Zaini, M.A.</t>
  </si>
  <si>
    <t>070803003</t>
  </si>
  <si>
    <t>0306056704</t>
  </si>
  <si>
    <t>Amelia Burhan, M.A., Ph.D.</t>
  </si>
  <si>
    <t>198209072009122003</t>
  </si>
  <si>
    <t>0007098205</t>
  </si>
  <si>
    <t>Euis Sulastri, S.Hum., M.A.</t>
  </si>
  <si>
    <t>100211610280203891</t>
  </si>
  <si>
    <t>0002088302</t>
  </si>
  <si>
    <t>Dr. Doni Jaya, S.Hum., M.Hum.</t>
  </si>
  <si>
    <t>0025128806</t>
  </si>
  <si>
    <t>LINGUISTIK</t>
  </si>
  <si>
    <t>Harni Kartika Ningsih, S.S., Ph.D.</t>
  </si>
  <si>
    <t>198604182019032004</t>
  </si>
  <si>
    <t>0018048606</t>
  </si>
  <si>
    <t>Airin Miranda, S.Hum., M.A.</t>
  </si>
  <si>
    <t>197809152010122001</t>
  </si>
  <si>
    <t>0315097903</t>
  </si>
  <si>
    <t>PRANCIS</t>
  </si>
  <si>
    <t>Arif Budiman, M.A.</t>
  </si>
  <si>
    <t>100120310280703891</t>
  </si>
  <si>
    <t>0008078307</t>
  </si>
  <si>
    <t>Diah Kartini Lasman, S.Hum., M.Hum</t>
  </si>
  <si>
    <t>070503002</t>
  </si>
  <si>
    <t>0026048001</t>
  </si>
  <si>
    <t>Dr. Abellia Anggi Wardani, S.Hum., M.A.</t>
  </si>
  <si>
    <t>198912122023034001</t>
  </si>
  <si>
    <t>0012128909</t>
  </si>
  <si>
    <t>Dr. Suma Riella Rusdiarti, S.S.., M.Hum</t>
  </si>
  <si>
    <t>0706050113</t>
  </si>
  <si>
    <t>0318086901</t>
  </si>
  <si>
    <t>Ismirani Mardalena, M.Hum.</t>
  </si>
  <si>
    <t>198703272020122006</t>
  </si>
  <si>
    <t>0027038710</t>
  </si>
  <si>
    <t>Dr. Myrna Laksman</t>
  </si>
  <si>
    <t>196101051990032001</t>
  </si>
  <si>
    <t>0005016111</t>
  </si>
  <si>
    <t>Azkiya Nisa, S.Hum., M.Hum.</t>
  </si>
  <si>
    <t>199812092024062002</t>
  </si>
  <si>
    <t>8541776677230093</t>
  </si>
  <si>
    <t>Ahmad Sujai, S.S., M.A.</t>
  </si>
  <si>
    <t>0706050150</t>
  </si>
  <si>
    <t>0319096903</t>
  </si>
  <si>
    <t>RUSIA</t>
  </si>
  <si>
    <t>Dr. Ahmad Fahrurodji, S.S., M.A.</t>
  </si>
  <si>
    <t>070803008</t>
  </si>
  <si>
    <t>0318117005</t>
  </si>
  <si>
    <t>0706050112</t>
  </si>
  <si>
    <t>0305127003</t>
  </si>
  <si>
    <t>Prof. Dr. Zeffry, S.S., M.Hum., S.S., M.Hum.</t>
  </si>
  <si>
    <t>195908301987031001</t>
  </si>
  <si>
    <t>0030085906</t>
  </si>
  <si>
    <t>Dr. Hendra Kaprisma, S.Hum.</t>
  </si>
  <si>
    <t>100111610242214891</t>
  </si>
  <si>
    <t>0024128404</t>
  </si>
  <si>
    <t>Prof. Mina Elfira, M.A., Ph.D.</t>
  </si>
  <si>
    <t>196305101989102001</t>
  </si>
  <si>
    <t>0010056304</t>
  </si>
  <si>
    <t>Reynaldo De Archellie, S.Hum., M.Si.</t>
  </si>
  <si>
    <t>070803018</t>
  </si>
  <si>
    <t>0011028401</t>
  </si>
  <si>
    <t>Banggas Limbong, M.Hum.</t>
  </si>
  <si>
    <t>196101071988031003</t>
  </si>
  <si>
    <t>0007016105</t>
  </si>
  <si>
    <t>Nia Kurnia Sofiah, S.S., M.App.Ling.</t>
  </si>
  <si>
    <t>0707050251</t>
  </si>
  <si>
    <t>0328027605</t>
  </si>
  <si>
    <t>Sari Gumilang, S.Hum., M.Hum.</t>
  </si>
  <si>
    <t>198206032015042001</t>
  </si>
  <si>
    <t>0303068201</t>
  </si>
  <si>
    <t>Agus Setiawan, S.S., M.Si., Ph.D.</t>
  </si>
  <si>
    <t>0707050255</t>
  </si>
  <si>
    <t>0315087302</t>
  </si>
  <si>
    <t>SEJARAH</t>
  </si>
  <si>
    <t>0706050111</t>
  </si>
  <si>
    <t>0327016901</t>
  </si>
  <si>
    <t>Dr. Bondan Kanumoyoso, S.S., M.Hum.</t>
  </si>
  <si>
    <t>0706050098</t>
  </si>
  <si>
    <t>0311117203</t>
  </si>
  <si>
    <t>Dr. Didik Pradjoko, S.S., M.Hum.</t>
  </si>
  <si>
    <t>0707050229</t>
  </si>
  <si>
    <t>0314066904</t>
  </si>
  <si>
    <t>Dr. Dwi Mulyatari, S.S., M.A.</t>
  </si>
  <si>
    <t>196405101993032001</t>
  </si>
  <si>
    <t>0010056405</t>
  </si>
  <si>
    <t>Dr. Linda Sunarti, M.Hum.</t>
  </si>
  <si>
    <t>0706050106</t>
  </si>
  <si>
    <t>0305127004</t>
  </si>
  <si>
    <t>Dr. Siswantari, S.S., M.Hum.</t>
  </si>
  <si>
    <t>196307231992032001</t>
  </si>
  <si>
    <t>0023076306</t>
  </si>
  <si>
    <t>Raisye Soleh Haghia, S.Hum., M.Hum.</t>
  </si>
  <si>
    <t>198509132021094001</t>
  </si>
  <si>
    <t>0013098504</t>
  </si>
  <si>
    <t>Dr. Yuda Benharry Tangkilisan, S.S., M.Hum.</t>
  </si>
  <si>
    <t>196109151988111001</t>
  </si>
  <si>
    <t>0015096103</t>
  </si>
  <si>
    <t>Yudi Bachrioktora, M.A.</t>
  </si>
  <si>
    <t>100111610201805791</t>
  </si>
  <si>
    <t>0008107509</t>
  </si>
  <si>
    <t>Teuku Reza Fadeli, S.Hum., M.A., Ph.D.</t>
  </si>
  <si>
    <t>199205212025023001</t>
  </si>
  <si>
    <t>7853770671130322</t>
  </si>
  <si>
    <t>Dr. Mochamad Aviandy, M.Hum.</t>
  </si>
  <si>
    <t>199005172024061002</t>
  </si>
  <si>
    <t>9849768669130352</t>
  </si>
  <si>
    <t>ASIA TENGGARA</t>
  </si>
  <si>
    <t>Mengetahui,</t>
  </si>
  <si>
    <t>Wakil Dekan Bidang Sumber Daya, Ventura, dan Administrasi Umum</t>
  </si>
  <si>
    <t>NUP 070703029</t>
  </si>
  <si>
    <t>Dr. Taufik Asmiyanto, M.Si,</t>
  </si>
  <si>
    <t>Dr. Yeni Budi Rachman, M.Hum.</t>
  </si>
  <si>
    <t>195702151982112001a</t>
  </si>
  <si>
    <t>Lektor Kepala</t>
  </si>
  <si>
    <t>lektor</t>
  </si>
  <si>
    <t>Dr. Suma Riella Rusdiarti, S.S., M.Hum.</t>
  </si>
  <si>
    <t>Guru Besar</t>
  </si>
  <si>
    <t>Dr. R. Achmad Sunjayadi, S.S., M.Hum.</t>
  </si>
  <si>
    <t>No.</t>
  </si>
  <si>
    <t>Nama Asesor</t>
  </si>
  <si>
    <t>Jabatan Asesor</t>
  </si>
  <si>
    <t>Lektor</t>
  </si>
  <si>
    <t>Dr. Hendra Kaprisma, S.S.</t>
  </si>
  <si>
    <t>ARAB/FILSAFAT</t>
  </si>
  <si>
    <t>Dr. Afriadi, S.Hum., M.Hum.</t>
  </si>
  <si>
    <t>199604052026033001</t>
  </si>
  <si>
    <t> Herdiana, S.Hum., M.Si., M.Ed., Ph.D.</t>
  </si>
  <si>
    <t>198206242026034001</t>
  </si>
  <si>
    <t>SUSASTRA</t>
  </si>
  <si>
    <t>Dr. Noor Fatia Lastika  Sari, S.Hum., M.Hum.</t>
  </si>
  <si>
    <t>199208142026034001</t>
  </si>
  <si>
    <t xml:space="preserve">SEJARAH </t>
  </si>
  <si>
    <t>Prof. Sisilia Setiawati Halimi, S.S., M.A., Ph.D.</t>
  </si>
  <si>
    <t>AA-Pengajar</t>
  </si>
  <si>
    <t xml:space="preserve">Nama </t>
  </si>
  <si>
    <t>Asesor 1</t>
  </si>
  <si>
    <t>Asesor 2</t>
  </si>
  <si>
    <t>Nama</t>
  </si>
  <si>
    <t>LEKTOR</t>
  </si>
  <si>
    <t>LEKTOR KEPALA</t>
  </si>
  <si>
    <t>Jumlah</t>
  </si>
  <si>
    <t>GURU BESAR</t>
  </si>
  <si>
    <t xml:space="preserve">Jumlah </t>
  </si>
  <si>
    <t>REKAPITULASI PER ORANG</t>
  </si>
  <si>
    <t>-</t>
  </si>
  <si>
    <t>-kurang pindah</t>
  </si>
  <si>
    <t>+jadi 22</t>
  </si>
  <si>
    <t>SEMESTER GENAP 2025/2026</t>
  </si>
  <si>
    <t>avian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</si>
</sst>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5">
    <xf numFmtId="0" fontId="0" fillId="0" borderId="0" xfId="0"/>
    <xf numFmtId="49" fontId="1" fillId="2" borderId="1" xfId="0" applyNumberFormat="1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2" xfId="0" quotePrefix="1" applyNumberFormat="1" applyFont="1" applyFill="1" applyBorder="1" applyAlignment="1">
      <alignment horizontal="center" vertical="center" wrapText="1"/>
    </xf>
    <xf numFmtId="49" fontId="1" fillId="2" borderId="2" xfId="0" quotePrefix="1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4" xfId="0" quotePrefix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vertical="top" wrapText="1"/>
    </xf>
    <xf numFmtId="49" fontId="1" fillId="2" borderId="0" xfId="0" quotePrefix="1" applyNumberFormat="1" applyFont="1" applyFill="1" applyAlignment="1">
      <alignment horizontal="center" vertical="center" wrapText="1"/>
    </xf>
    <xf numFmtId="0" fontId="1" fillId="2" borderId="5" xfId="0" quotePrefix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1" fillId="2" borderId="2" xfId="0" quotePrefix="1" applyFont="1" applyFill="1" applyBorder="1" applyAlignment="1">
      <alignment horizontal="left" vertical="center" wrapText="1"/>
    </xf>
    <xf numFmtId="1" fontId="1" fillId="2" borderId="7" xfId="0" quotePrefix="1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" fontId="1" fillId="2" borderId="9" xfId="0" applyNumberFormat="1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left" vertical="center" wrapText="1"/>
    </xf>
    <xf numFmtId="49" fontId="1" fillId="2" borderId="10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top" wrapText="1"/>
    </xf>
    <xf numFmtId="1" fontId="1" fillId="2" borderId="8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1" xfId="0" quotePrefix="1" applyFont="1" applyFill="1" applyBorder="1" applyAlignment="1">
      <alignment horizontal="left" vertical="center" wrapText="1"/>
    </xf>
    <xf numFmtId="49" fontId="1" fillId="2" borderId="1" xfId="0" quotePrefix="1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49" fontId="1" fillId="2" borderId="1" xfId="0" quotePrefix="1" applyNumberFormat="1" applyFont="1" applyFill="1" applyBorder="1" applyAlignment="1">
      <alignment horizontal="left" vertical="center" wrapText="1"/>
    </xf>
    <xf numFmtId="49" fontId="1" fillId="2" borderId="7" xfId="0" applyNumberFormat="1" applyFont="1" applyFill="1" applyBorder="1" applyAlignment="1">
      <alignment horizontal="left" vertical="center" wrapText="1"/>
    </xf>
    <xf numFmtId="49" fontId="1" fillId="2" borderId="8" xfId="0" applyNumberFormat="1" applyFont="1" applyFill="1" applyBorder="1" applyAlignment="1">
      <alignment horizontal="left" vertical="center" wrapText="1"/>
    </xf>
    <xf numFmtId="0" fontId="0" fillId="2" borderId="0" xfId="0" applyFill="1"/>
    <xf numFmtId="49" fontId="2" fillId="4" borderId="3" xfId="0" applyNumberFormat="1" applyFont="1" applyFill="1" applyBorder="1" applyAlignment="1">
      <alignment vertical="top" wrapText="1"/>
    </xf>
    <xf numFmtId="0" fontId="3" fillId="5" borderId="1" xfId="0" applyFont="1" applyFill="1" applyBorder="1" applyAlignment="1">
      <alignment wrapText="1"/>
    </xf>
    <xf numFmtId="0" fontId="3" fillId="5" borderId="11" xfId="0" applyFont="1" applyFill="1" applyBorder="1" applyAlignment="1">
      <alignment wrapText="1"/>
    </xf>
    <xf numFmtId="0" fontId="2" fillId="0" borderId="8" xfId="0" applyFont="1" applyBorder="1"/>
    <xf numFmtId="0" fontId="2" fillId="5" borderId="12" xfId="0" applyFont="1" applyFill="1" applyBorder="1"/>
    <xf numFmtId="0" fontId="2" fillId="5" borderId="13" xfId="0" applyFont="1" applyFill="1" applyBorder="1"/>
    <xf numFmtId="0" fontId="0" fillId="0" borderId="0" xfId="0" applyAlignment="1">
      <alignment horizontal="center"/>
    </xf>
    <xf numFmtId="49" fontId="4" fillId="0" borderId="1" xfId="0" applyNumberFormat="1" applyFont="1" applyBorder="1" applyAlignment="1">
      <alignment vertical="top" wrapText="1"/>
    </xf>
    <xf numFmtId="0" fontId="0" fillId="0" borderId="1" xfId="0" applyBorder="1"/>
    <xf numFmtId="49" fontId="4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horizontal="center"/>
    </xf>
    <xf numFmtId="0" fontId="5" fillId="0" borderId="1" xfId="0" applyFont="1" applyBorder="1"/>
    <xf numFmtId="0" fontId="7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49" fontId="4" fillId="3" borderId="1" xfId="0" applyNumberFormat="1" applyFont="1" applyFill="1" applyBorder="1" applyAlignment="1">
      <alignment vertical="top" wrapText="1"/>
    </xf>
    <xf numFmtId="0" fontId="0" fillId="0" borderId="0" xfId="0" quotePrefix="1"/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49" fontId="4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vertical="top" wrapText="1"/>
    </xf>
    <xf numFmtId="0" fontId="1" fillId="0" borderId="2" xfId="0" quotePrefix="1" applyFont="1" applyFill="1" applyBorder="1" applyAlignment="1">
      <alignment horizontal="left" vertical="center" wrapText="1"/>
    </xf>
    <xf numFmtId="49" fontId="1" fillId="0" borderId="0" xfId="0" quotePrefix="1" applyNumberFormat="1" applyFont="1" applyFill="1" applyAlignment="1">
      <alignment horizontal="center" vertical="center" wrapText="1"/>
    </xf>
    <xf numFmtId="0" fontId="1" fillId="0" borderId="1" xfId="0" quotePrefix="1" applyFont="1" applyFill="1" applyBorder="1" applyAlignment="1">
      <alignment horizontal="center" vertical="center" wrapText="1"/>
    </xf>
    <xf numFmtId="1" fontId="1" fillId="0" borderId="2" xfId="0" applyNumberFormat="1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vertical="top" wrapText="1"/>
    </xf>
    <xf numFmtId="1" fontId="1" fillId="0" borderId="2" xfId="0" quotePrefix="1" applyNumberFormat="1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49" fontId="1" fillId="0" borderId="2" xfId="0" applyNumberFormat="1" applyFont="1" applyFill="1" applyBorder="1" applyAlignment="1">
      <alignment horizontal="left" vertical="center" wrapText="1"/>
    </xf>
    <xf numFmtId="49" fontId="1" fillId="0" borderId="2" xfId="0" quotePrefix="1" applyNumberFormat="1" applyFont="1" applyFill="1" applyBorder="1" applyAlignment="1">
      <alignment horizontal="center" vertical="center" wrapText="1"/>
    </xf>
    <xf numFmtId="0" fontId="1" fillId="0" borderId="5" xfId="0" quotePrefix="1" applyFont="1" applyFill="1" applyBorder="1" applyAlignment="1">
      <alignment horizontal="center" vertical="center" wrapText="1"/>
    </xf>
    <xf numFmtId="0" fontId="1" fillId="0" borderId="4" xfId="0" quotePrefix="1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49" fontId="1" fillId="0" borderId="1" xfId="0" quotePrefix="1" applyNumberFormat="1" applyFont="1" applyFill="1" applyBorder="1" applyAlignment="1">
      <alignment horizontal="left" vertical="center" wrapText="1"/>
    </xf>
    <xf numFmtId="1" fontId="1" fillId="0" borderId="1" xfId="0" quotePrefix="1" applyNumberFormat="1" applyFont="1" applyFill="1" applyBorder="1" applyAlignment="1">
      <alignment horizontal="center" vertical="center" wrapText="1"/>
    </xf>
    <xf numFmtId="49" fontId="1" fillId="0" borderId="7" xfId="0" applyNumberFormat="1" applyFont="1" applyFill="1" applyBorder="1" applyAlignment="1">
      <alignment horizontal="left" vertical="center" wrapText="1"/>
    </xf>
    <xf numFmtId="1" fontId="1" fillId="0" borderId="7" xfId="0" quotePrefix="1" applyNumberFormat="1" applyFont="1" applyFill="1" applyBorder="1" applyAlignment="1">
      <alignment horizontal="center" vertical="center" wrapText="1"/>
    </xf>
    <xf numFmtId="49" fontId="1" fillId="0" borderId="8" xfId="0" applyNumberFormat="1" applyFont="1" applyFill="1" applyBorder="1" applyAlignment="1">
      <alignment horizontal="left" vertical="center" wrapText="1"/>
    </xf>
    <xf numFmtId="1" fontId="1" fillId="0" borderId="9" xfId="0" applyNumberFormat="1" applyFont="1" applyFill="1" applyBorder="1" applyAlignment="1">
      <alignment horizontal="center" vertical="center" wrapText="1"/>
    </xf>
    <xf numFmtId="49" fontId="1" fillId="0" borderId="14" xfId="0" applyNumberFormat="1" applyFont="1" applyFill="1" applyBorder="1" applyAlignment="1">
      <alignment horizontal="left"/>
    </xf>
    <xf numFmtId="0" fontId="1" fillId="0" borderId="7" xfId="0" quotePrefix="1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top" wrapText="1"/>
    </xf>
    <xf numFmtId="0" fontId="1" fillId="0" borderId="1" xfId="0" quotePrefix="1" applyFont="1" applyFill="1" applyBorder="1" applyAlignment="1">
      <alignment horizontal="left" vertical="center" wrapText="1"/>
    </xf>
    <xf numFmtId="49" fontId="1" fillId="0" borderId="1" xfId="0" quotePrefix="1" applyNumberFormat="1" applyFont="1" applyFill="1" applyBorder="1" applyAlignment="1">
      <alignment horizontal="center" vertical="center" wrapText="1"/>
    </xf>
    <xf numFmtId="1" fontId="1" fillId="0" borderId="8" xfId="0" applyNumberFormat="1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top" wrapText="1"/>
    </xf>
    <xf numFmtId="1" fontId="1" fillId="0" borderId="10" xfId="0" quotePrefix="1" applyNumberFormat="1" applyFont="1" applyFill="1" applyBorder="1" applyAlignment="1">
      <alignment horizontal="center" vertical="center" wrapText="1"/>
    </xf>
    <xf numFmtId="49" fontId="1" fillId="0" borderId="1" xfId="0" quotePrefix="1" applyNumberFormat="1" applyFont="1" applyFill="1" applyBorder="1" applyAlignment="1">
      <alignment horizontal="left"/>
    </xf>
    <xf numFmtId="49" fontId="1" fillId="0" borderId="1" xfId="0" applyNumberFormat="1" applyFont="1" applyFill="1" applyBorder="1" applyAlignment="1">
      <alignment horizontal="left"/>
    </xf>
    <xf numFmtId="49" fontId="1" fillId="0" borderId="10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top" wrapText="1"/>
    </xf>
    <xf numFmtId="0" fontId="0" fillId="0" borderId="0" xfId="0" applyFill="1"/>
    <xf numFmtId="0" fontId="1" fillId="0" borderId="0" xfId="0" applyFont="1" applyFill="1" applyAlignment="1">
      <alignment horizontal="center" vertical="top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49" fontId="1" fillId="0" borderId="0" xfId="0" quotePrefix="1" applyNumberFormat="1" applyFont="1" applyFill="1" applyAlignment="1">
      <alignment horizontal="left"/>
    </xf>
    <xf numFmtId="49" fontId="1" fillId="0" borderId="0" xfId="0" applyNumberFormat="1" applyFont="1" applyFill="1" applyAlignment="1">
      <alignment horizontal="left"/>
    </xf>
    <xf numFmtId="0" fontId="1" fillId="0" borderId="0" xfId="0" quotePrefix="1" applyFont="1" applyFill="1" applyAlignment="1">
      <alignment horizontal="center" vertical="center" wrapText="1"/>
    </xf>
    <xf numFmtId="49" fontId="4" fillId="0" borderId="0" xfId="0" applyNumberFormat="1" applyFont="1" applyFill="1" applyAlignment="1">
      <alignment vertical="top" wrapText="1"/>
    </xf>
    <xf numFmtId="49" fontId="1" fillId="0" borderId="0" xfId="0" quotePrefix="1" applyNumberFormat="1" applyFont="1" applyFill="1" applyAlignment="1">
      <alignment horizontal="left" vertical="center" wrapText="1"/>
    </xf>
    <xf numFmtId="49" fontId="1" fillId="0" borderId="0" xfId="0" applyNumberFormat="1" applyFont="1" applyFill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1" fillId="2" borderId="0" xfId="0" quotePrefix="1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0" borderId="0" xfId="0" quotePrefix="1" applyFont="1" applyFill="1" applyAlignment="1">
      <alignment horizontal="left" vertical="top" wrapText="1"/>
    </xf>
    <xf numFmtId="0" fontId="1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center" vertical="top" wrapText="1"/>
    </xf>
    <xf numFmtId="0" fontId="5" fillId="7" borderId="7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8" borderId="15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9" borderId="15" xfId="0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1"/>
  <sheetViews>
    <sheetView view="pageBreakPreview" zoomScale="60" zoomScaleNormal="70" workbookViewId="0">
      <selection activeCell="L12" sqref="A1:XFD1048576"/>
    </sheetView>
  </sheetViews>
  <sheetFormatPr defaultColWidth="9.1796875" defaultRowHeight="15.5" x14ac:dyDescent="0.35"/>
  <cols>
    <col min="1" max="1" width="6.7265625" style="4" customWidth="1"/>
    <col min="2" max="2" width="40.7265625" style="36" customWidth="1"/>
    <col min="3" max="3" width="27.26953125" style="14" customWidth="1"/>
    <col min="4" max="4" width="16.1796875" style="3" customWidth="1"/>
    <col min="5" max="5" width="20.453125" style="4" customWidth="1"/>
    <col min="6" max="7" width="27.81640625" style="3" customWidth="1"/>
    <col min="8" max="10" width="9.1796875" style="3"/>
    <col min="11" max="11" width="13.1796875" style="3" bestFit="1" customWidth="1"/>
    <col min="12" max="14" width="9.1796875" style="3"/>
    <col min="15" max="15" width="14.453125" style="3" bestFit="1" customWidth="1"/>
    <col min="16" max="16384" width="9.1796875" style="3"/>
  </cols>
  <sheetData>
    <row r="1" spans="1:7" ht="15.75" customHeight="1" x14ac:dyDescent="0.35">
      <c r="A1" s="116" t="s">
        <v>0</v>
      </c>
      <c r="B1" s="116"/>
      <c r="C1" s="116"/>
      <c r="D1" s="116"/>
      <c r="E1" s="116"/>
      <c r="F1" s="116"/>
      <c r="G1" s="116"/>
    </row>
    <row r="2" spans="1:7" ht="15.75" customHeight="1" x14ac:dyDescent="0.35">
      <c r="A2" s="116" t="s">
        <v>1</v>
      </c>
      <c r="B2" s="116"/>
      <c r="C2" s="116"/>
      <c r="D2" s="116"/>
      <c r="E2" s="116"/>
      <c r="F2" s="116"/>
      <c r="G2" s="116"/>
    </row>
    <row r="3" spans="1:7" ht="15.75" customHeight="1" x14ac:dyDescent="0.35">
      <c r="A3" s="116" t="s">
        <v>2</v>
      </c>
      <c r="B3" s="116"/>
      <c r="C3" s="116"/>
      <c r="D3" s="116"/>
      <c r="E3" s="116"/>
      <c r="F3" s="116"/>
      <c r="G3" s="116"/>
    </row>
    <row r="4" spans="1:7" ht="15.75" customHeight="1" x14ac:dyDescent="0.35">
      <c r="A4" s="116" t="s">
        <v>3</v>
      </c>
      <c r="B4" s="116"/>
      <c r="C4" s="116"/>
      <c r="D4" s="116"/>
      <c r="E4" s="116"/>
      <c r="F4" s="116"/>
      <c r="G4" s="116"/>
    </row>
    <row r="6" spans="1:7" s="4" customFormat="1" ht="31" x14ac:dyDescent="0.35">
      <c r="A6" s="2" t="s">
        <v>4</v>
      </c>
      <c r="B6" s="17" t="s">
        <v>5</v>
      </c>
      <c r="C6" s="13" t="s">
        <v>6</v>
      </c>
      <c r="D6" s="2" t="s">
        <v>7</v>
      </c>
      <c r="E6" s="2" t="s">
        <v>8</v>
      </c>
      <c r="F6" s="2" t="s">
        <v>9</v>
      </c>
      <c r="G6" s="2" t="s">
        <v>10</v>
      </c>
    </row>
    <row r="7" spans="1:7" ht="35.15" customHeight="1" x14ac:dyDescent="0.35">
      <c r="A7" s="2">
        <v>1</v>
      </c>
      <c r="B7" s="5" t="s">
        <v>11</v>
      </c>
      <c r="C7" s="11" t="s">
        <v>12</v>
      </c>
      <c r="D7" s="6" t="s">
        <v>13</v>
      </c>
      <c r="E7" s="2" t="s">
        <v>14</v>
      </c>
      <c r="F7" s="1" t="s">
        <v>15</v>
      </c>
      <c r="G7" s="1" t="s">
        <v>15</v>
      </c>
    </row>
    <row r="8" spans="1:7" ht="35.15" customHeight="1" x14ac:dyDescent="0.35">
      <c r="A8" s="2">
        <v>2</v>
      </c>
      <c r="B8" s="5" t="s">
        <v>16</v>
      </c>
      <c r="C8" s="7" t="s">
        <v>17</v>
      </c>
      <c r="D8" s="6" t="s">
        <v>18</v>
      </c>
      <c r="E8" s="2" t="s">
        <v>14</v>
      </c>
      <c r="F8" s="1" t="s">
        <v>19</v>
      </c>
      <c r="G8" s="1" t="s">
        <v>20</v>
      </c>
    </row>
    <row r="9" spans="1:7" ht="35.15" customHeight="1" x14ac:dyDescent="0.35">
      <c r="A9" s="2">
        <v>3</v>
      </c>
      <c r="B9" s="5" t="s">
        <v>21</v>
      </c>
      <c r="C9" s="11" t="s">
        <v>22</v>
      </c>
      <c r="D9" s="6" t="s">
        <v>23</v>
      </c>
      <c r="E9" s="2" t="s">
        <v>14</v>
      </c>
      <c r="F9" s="1" t="s">
        <v>24</v>
      </c>
      <c r="G9" s="1" t="s">
        <v>25</v>
      </c>
    </row>
    <row r="10" spans="1:7" ht="35.15" customHeight="1" x14ac:dyDescent="0.35">
      <c r="A10" s="2">
        <v>4</v>
      </c>
      <c r="B10" s="5" t="s">
        <v>26</v>
      </c>
      <c r="C10" s="11" t="s">
        <v>27</v>
      </c>
      <c r="D10" s="6" t="s">
        <v>28</v>
      </c>
      <c r="E10" s="2" t="s">
        <v>14</v>
      </c>
      <c r="F10" s="41" t="s">
        <v>29</v>
      </c>
      <c r="G10" s="1" t="s">
        <v>30</v>
      </c>
    </row>
    <row r="11" spans="1:7" ht="35.15" customHeight="1" x14ac:dyDescent="0.35">
      <c r="A11" s="2">
        <v>5</v>
      </c>
      <c r="B11" s="5" t="s">
        <v>31</v>
      </c>
      <c r="C11" s="11" t="s">
        <v>32</v>
      </c>
      <c r="D11" s="6" t="s">
        <v>33</v>
      </c>
      <c r="E11" s="2" t="s">
        <v>14</v>
      </c>
      <c r="F11" s="1" t="s">
        <v>34</v>
      </c>
      <c r="G11" s="5" t="s">
        <v>26</v>
      </c>
    </row>
    <row r="12" spans="1:7" ht="35.15" customHeight="1" x14ac:dyDescent="0.35">
      <c r="A12" s="2">
        <v>6</v>
      </c>
      <c r="B12" s="5" t="s">
        <v>35</v>
      </c>
      <c r="C12" s="11" t="s">
        <v>36</v>
      </c>
      <c r="D12" s="6" t="s">
        <v>37</v>
      </c>
      <c r="E12" s="2" t="s">
        <v>14</v>
      </c>
      <c r="F12" s="1" t="s">
        <v>38</v>
      </c>
      <c r="G12" s="1" t="s">
        <v>20</v>
      </c>
    </row>
    <row r="13" spans="1:7" ht="35.15" customHeight="1" x14ac:dyDescent="0.35">
      <c r="A13" s="2">
        <v>7</v>
      </c>
      <c r="B13" s="5" t="s">
        <v>39</v>
      </c>
      <c r="C13" s="11" t="s">
        <v>40</v>
      </c>
      <c r="D13" s="6" t="s">
        <v>41</v>
      </c>
      <c r="E13" s="2" t="s">
        <v>14</v>
      </c>
      <c r="F13" s="1" t="s">
        <v>20</v>
      </c>
      <c r="G13" s="1" t="s">
        <v>24</v>
      </c>
    </row>
    <row r="14" spans="1:7" ht="35.15" customHeight="1" x14ac:dyDescent="0.35">
      <c r="A14" s="2">
        <v>8</v>
      </c>
      <c r="B14" s="5" t="s">
        <v>42</v>
      </c>
      <c r="C14" s="11" t="s">
        <v>43</v>
      </c>
      <c r="D14" s="6" t="s">
        <v>44</v>
      </c>
      <c r="E14" s="2" t="s">
        <v>14</v>
      </c>
      <c r="F14" s="1" t="s">
        <v>45</v>
      </c>
      <c r="G14" s="1" t="s">
        <v>25</v>
      </c>
    </row>
    <row r="15" spans="1:7" ht="35.15" customHeight="1" x14ac:dyDescent="0.35">
      <c r="A15" s="2">
        <v>9</v>
      </c>
      <c r="B15" s="5" t="s">
        <v>46</v>
      </c>
      <c r="C15" s="11" t="s">
        <v>47</v>
      </c>
      <c r="D15" s="6" t="s">
        <v>48</v>
      </c>
      <c r="E15" s="2" t="s">
        <v>14</v>
      </c>
      <c r="F15" s="5" t="s">
        <v>49</v>
      </c>
      <c r="G15" s="5" t="s">
        <v>26</v>
      </c>
    </row>
    <row r="16" spans="1:7" ht="35.15" customHeight="1" x14ac:dyDescent="0.35">
      <c r="A16" s="2">
        <v>10</v>
      </c>
      <c r="B16" s="5" t="s">
        <v>50</v>
      </c>
      <c r="C16" s="11" t="s">
        <v>51</v>
      </c>
      <c r="D16" s="6" t="s">
        <v>52</v>
      </c>
      <c r="E16" s="2" t="s">
        <v>14</v>
      </c>
      <c r="F16" s="1" t="s">
        <v>25</v>
      </c>
      <c r="G16" s="1" t="s">
        <v>34</v>
      </c>
    </row>
    <row r="17" spans="1:7" ht="35.15" customHeight="1" x14ac:dyDescent="0.35">
      <c r="A17" s="2">
        <v>11</v>
      </c>
      <c r="B17" s="5" t="s">
        <v>53</v>
      </c>
      <c r="C17" s="11" t="s">
        <v>54</v>
      </c>
      <c r="D17" s="6" t="s">
        <v>55</v>
      </c>
      <c r="E17" s="2" t="s">
        <v>14</v>
      </c>
      <c r="F17" s="1" t="s">
        <v>19</v>
      </c>
      <c r="G17" s="1" t="s">
        <v>38</v>
      </c>
    </row>
    <row r="18" spans="1:7" ht="35.15" customHeight="1" x14ac:dyDescent="0.35">
      <c r="A18" s="2">
        <v>12</v>
      </c>
      <c r="B18" s="5" t="s">
        <v>56</v>
      </c>
      <c r="C18" s="11" t="s">
        <v>57</v>
      </c>
      <c r="D18" s="25" t="s">
        <v>58</v>
      </c>
      <c r="E18" s="2" t="s">
        <v>14</v>
      </c>
      <c r="F18" s="1" t="s">
        <v>45</v>
      </c>
      <c r="G18" s="1" t="s">
        <v>20</v>
      </c>
    </row>
    <row r="19" spans="1:7" ht="35.15" customHeight="1" x14ac:dyDescent="0.35">
      <c r="A19" s="2">
        <v>13</v>
      </c>
      <c r="B19" s="23" t="s">
        <v>59</v>
      </c>
      <c r="C19" s="19" t="s">
        <v>60</v>
      </c>
      <c r="D19" s="22" t="s">
        <v>61</v>
      </c>
      <c r="E19" s="2" t="s">
        <v>14</v>
      </c>
      <c r="F19" s="1" t="s">
        <v>20</v>
      </c>
      <c r="G19" s="1" t="s">
        <v>38</v>
      </c>
    </row>
    <row r="20" spans="1:7" ht="35.15" customHeight="1" x14ac:dyDescent="0.35">
      <c r="A20" s="2">
        <v>14</v>
      </c>
      <c r="B20" s="5" t="s">
        <v>49</v>
      </c>
      <c r="C20" s="8" t="s">
        <v>62</v>
      </c>
      <c r="D20" s="21" t="s">
        <v>63</v>
      </c>
      <c r="E20" s="2" t="s">
        <v>14</v>
      </c>
      <c r="F20" s="41" t="s">
        <v>29</v>
      </c>
      <c r="G20" s="1" t="s">
        <v>30</v>
      </c>
    </row>
    <row r="21" spans="1:7" ht="35.15" customHeight="1" x14ac:dyDescent="0.35">
      <c r="A21" s="2">
        <v>15</v>
      </c>
      <c r="B21" s="5" t="s">
        <v>64</v>
      </c>
      <c r="C21" s="7" t="s">
        <v>65</v>
      </c>
      <c r="D21" s="6" t="s">
        <v>66</v>
      </c>
      <c r="E21" s="2" t="s">
        <v>67</v>
      </c>
      <c r="F21" s="1" t="s">
        <v>34</v>
      </c>
      <c r="G21" s="1" t="s">
        <v>38</v>
      </c>
    </row>
    <row r="22" spans="1:7" ht="35.15" customHeight="1" x14ac:dyDescent="0.35">
      <c r="A22" s="2">
        <v>16</v>
      </c>
      <c r="B22" s="5" t="s">
        <v>68</v>
      </c>
      <c r="C22" s="11" t="s">
        <v>69</v>
      </c>
      <c r="D22" s="6" t="s">
        <v>70</v>
      </c>
      <c r="E22" s="2" t="s">
        <v>67</v>
      </c>
      <c r="F22" s="1" t="s">
        <v>19</v>
      </c>
      <c r="G22" s="1" t="s">
        <v>20</v>
      </c>
    </row>
    <row r="23" spans="1:7" ht="35.15" customHeight="1" x14ac:dyDescent="0.35">
      <c r="A23" s="2">
        <v>17</v>
      </c>
      <c r="B23" s="5" t="s">
        <v>71</v>
      </c>
      <c r="C23" s="11" t="s">
        <v>72</v>
      </c>
      <c r="D23" s="6" t="s">
        <v>73</v>
      </c>
      <c r="E23" s="2" t="s">
        <v>67</v>
      </c>
      <c r="F23" s="1" t="s">
        <v>20</v>
      </c>
      <c r="G23" s="1" t="s">
        <v>19</v>
      </c>
    </row>
    <row r="24" spans="1:7" ht="35.15" customHeight="1" x14ac:dyDescent="0.35">
      <c r="A24" s="2">
        <v>18</v>
      </c>
      <c r="B24" s="5" t="s">
        <v>74</v>
      </c>
      <c r="C24" s="7" t="s">
        <v>75</v>
      </c>
      <c r="D24" s="6" t="s">
        <v>76</v>
      </c>
      <c r="E24" s="2" t="s">
        <v>67</v>
      </c>
      <c r="F24" s="1" t="s">
        <v>24</v>
      </c>
      <c r="G24" s="1" t="s">
        <v>25</v>
      </c>
    </row>
    <row r="25" spans="1:7" ht="35.15" customHeight="1" x14ac:dyDescent="0.35">
      <c r="A25" s="2">
        <v>19</v>
      </c>
      <c r="B25" s="5" t="s">
        <v>77</v>
      </c>
      <c r="C25" s="11" t="s">
        <v>78</v>
      </c>
      <c r="D25" s="6" t="s">
        <v>79</v>
      </c>
      <c r="E25" s="2" t="s">
        <v>67</v>
      </c>
      <c r="F25" s="1" t="s">
        <v>19</v>
      </c>
      <c r="G25" s="5" t="s">
        <v>49</v>
      </c>
    </row>
    <row r="26" spans="1:7" ht="35.15" customHeight="1" x14ac:dyDescent="0.35">
      <c r="A26" s="2">
        <v>20</v>
      </c>
      <c r="B26" s="5" t="s">
        <v>80</v>
      </c>
      <c r="C26" s="11" t="s">
        <v>81</v>
      </c>
      <c r="D26" s="6" t="s">
        <v>82</v>
      </c>
      <c r="E26" s="2" t="s">
        <v>67</v>
      </c>
      <c r="F26" s="1" t="s">
        <v>24</v>
      </c>
      <c r="G26" s="1" t="s">
        <v>20</v>
      </c>
    </row>
    <row r="27" spans="1:7" ht="35.15" customHeight="1" x14ac:dyDescent="0.35">
      <c r="A27" s="2">
        <v>21</v>
      </c>
      <c r="B27" s="5" t="s">
        <v>83</v>
      </c>
      <c r="C27" s="11" t="s">
        <v>84</v>
      </c>
      <c r="D27" s="6" t="s">
        <v>85</v>
      </c>
      <c r="E27" s="2" t="s">
        <v>67</v>
      </c>
      <c r="F27" s="1" t="s">
        <v>38</v>
      </c>
      <c r="G27" s="1" t="s">
        <v>24</v>
      </c>
    </row>
    <row r="28" spans="1:7" ht="35.15" customHeight="1" x14ac:dyDescent="0.35">
      <c r="A28" s="2">
        <v>22</v>
      </c>
      <c r="B28" s="5" t="s">
        <v>86</v>
      </c>
      <c r="C28" s="11" t="s">
        <v>87</v>
      </c>
      <c r="D28" s="6" t="s">
        <v>88</v>
      </c>
      <c r="E28" s="2" t="s">
        <v>67</v>
      </c>
      <c r="F28" s="1" t="s">
        <v>25</v>
      </c>
      <c r="G28" s="5" t="s">
        <v>49</v>
      </c>
    </row>
    <row r="29" spans="1:7" ht="35.15" customHeight="1" x14ac:dyDescent="0.35">
      <c r="A29" s="2">
        <v>23</v>
      </c>
      <c r="B29" s="5" t="s">
        <v>89</v>
      </c>
      <c r="C29" s="11" t="s">
        <v>90</v>
      </c>
      <c r="D29" s="6" t="s">
        <v>91</v>
      </c>
      <c r="E29" s="2" t="s">
        <v>67</v>
      </c>
      <c r="F29" s="5" t="s">
        <v>26</v>
      </c>
      <c r="G29" s="5" t="s">
        <v>49</v>
      </c>
    </row>
    <row r="30" spans="1:7" ht="35.15" customHeight="1" x14ac:dyDescent="0.35">
      <c r="A30" s="2">
        <v>24</v>
      </c>
      <c r="B30" s="5" t="s">
        <v>92</v>
      </c>
      <c r="C30" s="11" t="s">
        <v>93</v>
      </c>
      <c r="D30" s="6" t="s">
        <v>94</v>
      </c>
      <c r="E30" s="2" t="s">
        <v>67</v>
      </c>
      <c r="F30" s="5" t="s">
        <v>49</v>
      </c>
      <c r="G30" s="5" t="s">
        <v>26</v>
      </c>
    </row>
    <row r="31" spans="1:7" ht="35.15" customHeight="1" x14ac:dyDescent="0.35">
      <c r="A31" s="2">
        <v>25</v>
      </c>
      <c r="B31" s="5" t="s">
        <v>95</v>
      </c>
      <c r="C31" s="11" t="s">
        <v>96</v>
      </c>
      <c r="D31" s="6" t="s">
        <v>97</v>
      </c>
      <c r="E31" s="2" t="s">
        <v>67</v>
      </c>
      <c r="F31" s="5" t="s">
        <v>26</v>
      </c>
      <c r="G31" s="5" t="s">
        <v>49</v>
      </c>
    </row>
    <row r="32" spans="1:7" ht="35.15" customHeight="1" x14ac:dyDescent="0.35">
      <c r="A32" s="2">
        <v>26</v>
      </c>
      <c r="B32" s="5" t="s">
        <v>98</v>
      </c>
      <c r="C32" s="8" t="s">
        <v>99</v>
      </c>
      <c r="D32" s="6" t="s">
        <v>100</v>
      </c>
      <c r="E32" s="2" t="s">
        <v>67</v>
      </c>
      <c r="F32" s="1" t="s">
        <v>19</v>
      </c>
      <c r="G32" s="1" t="s">
        <v>20</v>
      </c>
    </row>
    <row r="33" spans="1:7" ht="35.15" customHeight="1" x14ac:dyDescent="0.35">
      <c r="A33" s="2">
        <v>27</v>
      </c>
      <c r="B33" s="5" t="s">
        <v>101</v>
      </c>
      <c r="C33" s="11" t="s">
        <v>102</v>
      </c>
      <c r="D33" s="6" t="s">
        <v>103</v>
      </c>
      <c r="E33" s="2" t="s">
        <v>104</v>
      </c>
      <c r="F33" s="1" t="s">
        <v>20</v>
      </c>
      <c r="G33" s="1" t="s">
        <v>19</v>
      </c>
    </row>
    <row r="34" spans="1:7" ht="35.15" customHeight="1" x14ac:dyDescent="0.35">
      <c r="A34" s="2">
        <v>28</v>
      </c>
      <c r="B34" s="5" t="s">
        <v>105</v>
      </c>
      <c r="C34" s="11" t="s">
        <v>106</v>
      </c>
      <c r="D34" s="6" t="s">
        <v>107</v>
      </c>
      <c r="E34" s="2" t="s">
        <v>104</v>
      </c>
      <c r="F34" s="1" t="s">
        <v>24</v>
      </c>
      <c r="G34" s="1" t="s">
        <v>19</v>
      </c>
    </row>
    <row r="35" spans="1:7" ht="35.15" customHeight="1" x14ac:dyDescent="0.35">
      <c r="A35" s="2">
        <v>29</v>
      </c>
      <c r="B35" s="5" t="s">
        <v>108</v>
      </c>
      <c r="C35" s="7" t="s">
        <v>109</v>
      </c>
      <c r="D35" s="6" t="s">
        <v>110</v>
      </c>
      <c r="E35" s="2" t="s">
        <v>104</v>
      </c>
      <c r="F35" s="5" t="s">
        <v>26</v>
      </c>
      <c r="G35" s="1" t="s">
        <v>45</v>
      </c>
    </row>
    <row r="36" spans="1:7" ht="35.15" customHeight="1" x14ac:dyDescent="0.35">
      <c r="A36" s="2">
        <v>30</v>
      </c>
      <c r="B36" s="5" t="s">
        <v>111</v>
      </c>
      <c r="C36" s="7" t="s">
        <v>112</v>
      </c>
      <c r="D36" s="6" t="s">
        <v>113</v>
      </c>
      <c r="E36" s="2" t="s">
        <v>104</v>
      </c>
      <c r="F36" s="1" t="s">
        <v>24</v>
      </c>
      <c r="G36" s="1" t="s">
        <v>20</v>
      </c>
    </row>
    <row r="37" spans="1:7" ht="35.15" customHeight="1" x14ac:dyDescent="0.35">
      <c r="A37" s="2">
        <v>31</v>
      </c>
      <c r="B37" s="5" t="s">
        <v>114</v>
      </c>
      <c r="C37" s="7" t="s">
        <v>115</v>
      </c>
      <c r="D37" s="6" t="s">
        <v>116</v>
      </c>
      <c r="E37" s="2" t="s">
        <v>104</v>
      </c>
      <c r="F37" s="1" t="s">
        <v>25</v>
      </c>
      <c r="G37" s="1" t="s">
        <v>45</v>
      </c>
    </row>
    <row r="38" spans="1:7" ht="35.15" customHeight="1" x14ac:dyDescent="0.35">
      <c r="A38" s="2">
        <v>32</v>
      </c>
      <c r="B38" s="5" t="s">
        <v>117</v>
      </c>
      <c r="C38" s="7" t="s">
        <v>118</v>
      </c>
      <c r="D38" s="6" t="s">
        <v>119</v>
      </c>
      <c r="E38" s="2" t="s">
        <v>104</v>
      </c>
      <c r="F38" s="1" t="s">
        <v>19</v>
      </c>
      <c r="G38" s="1" t="s">
        <v>20</v>
      </c>
    </row>
    <row r="39" spans="1:7" ht="35.15" customHeight="1" x14ac:dyDescent="0.35">
      <c r="A39" s="2">
        <v>33</v>
      </c>
      <c r="B39" s="5" t="s">
        <v>120</v>
      </c>
      <c r="C39" s="7" t="s">
        <v>121</v>
      </c>
      <c r="D39" s="6" t="s">
        <v>122</v>
      </c>
      <c r="E39" s="2" t="s">
        <v>104</v>
      </c>
      <c r="F39" s="1" t="s">
        <v>20</v>
      </c>
      <c r="G39" s="1" t="s">
        <v>19</v>
      </c>
    </row>
    <row r="40" spans="1:7" ht="35.15" customHeight="1" x14ac:dyDescent="0.35">
      <c r="A40" s="2">
        <v>34</v>
      </c>
      <c r="B40" s="5" t="s">
        <v>123</v>
      </c>
      <c r="C40" s="11" t="s">
        <v>124</v>
      </c>
      <c r="D40" s="6" t="s">
        <v>125</v>
      </c>
      <c r="E40" s="2" t="s">
        <v>104</v>
      </c>
      <c r="F40" s="1" t="s">
        <v>45</v>
      </c>
      <c r="G40" s="1" t="s">
        <v>24</v>
      </c>
    </row>
    <row r="41" spans="1:7" ht="35.15" customHeight="1" x14ac:dyDescent="0.35">
      <c r="A41" s="2">
        <v>35</v>
      </c>
      <c r="B41" s="5" t="s">
        <v>126</v>
      </c>
      <c r="C41" s="8" t="s">
        <v>127</v>
      </c>
      <c r="D41" s="6" t="s">
        <v>128</v>
      </c>
      <c r="E41" s="2" t="s">
        <v>104</v>
      </c>
      <c r="F41" s="1" t="s">
        <v>38</v>
      </c>
      <c r="G41" s="1" t="s">
        <v>45</v>
      </c>
    </row>
    <row r="42" spans="1:7" ht="35.15" customHeight="1" x14ac:dyDescent="0.35">
      <c r="A42" s="2">
        <v>36</v>
      </c>
      <c r="B42" s="5" t="s">
        <v>129</v>
      </c>
      <c r="C42" s="8" t="s">
        <v>130</v>
      </c>
      <c r="D42" s="6" t="s">
        <v>131</v>
      </c>
      <c r="E42" s="2" t="s">
        <v>104</v>
      </c>
      <c r="F42" s="1" t="s">
        <v>45</v>
      </c>
      <c r="G42" s="34" t="s">
        <v>34</v>
      </c>
    </row>
    <row r="43" spans="1:7" ht="35.15" customHeight="1" x14ac:dyDescent="0.35">
      <c r="A43" s="2">
        <v>37</v>
      </c>
      <c r="B43" s="5" t="s">
        <v>132</v>
      </c>
      <c r="C43" s="7" t="s">
        <v>133</v>
      </c>
      <c r="D43" s="6" t="s">
        <v>134</v>
      </c>
      <c r="E43" s="2" t="s">
        <v>135</v>
      </c>
      <c r="F43" s="1" t="s">
        <v>25</v>
      </c>
      <c r="G43" s="1" t="s">
        <v>38</v>
      </c>
    </row>
    <row r="44" spans="1:7" ht="35.15" customHeight="1" x14ac:dyDescent="0.35">
      <c r="A44" s="2">
        <v>38</v>
      </c>
      <c r="B44" s="5" t="s">
        <v>136</v>
      </c>
      <c r="C44" s="11" t="s">
        <v>137</v>
      </c>
      <c r="D44" s="6" t="s">
        <v>138</v>
      </c>
      <c r="E44" s="2" t="s">
        <v>135</v>
      </c>
      <c r="F44" s="5" t="s">
        <v>49</v>
      </c>
      <c r="G44" s="5" t="s">
        <v>26</v>
      </c>
    </row>
    <row r="45" spans="1:7" ht="35.15" customHeight="1" x14ac:dyDescent="0.35">
      <c r="A45" s="2">
        <v>39</v>
      </c>
      <c r="B45" s="5" t="s">
        <v>139</v>
      </c>
      <c r="C45" s="11" t="s">
        <v>140</v>
      </c>
      <c r="D45" s="6" t="s">
        <v>141</v>
      </c>
      <c r="E45" s="2" t="s">
        <v>135</v>
      </c>
      <c r="F45" s="1" t="s">
        <v>19</v>
      </c>
      <c r="G45" s="34" t="s">
        <v>34</v>
      </c>
    </row>
    <row r="46" spans="1:7" ht="35.15" customHeight="1" x14ac:dyDescent="0.35">
      <c r="A46" s="2">
        <v>40</v>
      </c>
      <c r="B46" s="5" t="s">
        <v>142</v>
      </c>
      <c r="C46" s="11" t="s">
        <v>143</v>
      </c>
      <c r="D46" s="6" t="s">
        <v>144</v>
      </c>
      <c r="E46" s="2" t="s">
        <v>135</v>
      </c>
      <c r="F46" s="1" t="s">
        <v>20</v>
      </c>
      <c r="G46" s="1" t="s">
        <v>19</v>
      </c>
    </row>
    <row r="47" spans="1:7" ht="35.15" customHeight="1" x14ac:dyDescent="0.35">
      <c r="A47" s="2">
        <v>41</v>
      </c>
      <c r="B47" s="5" t="s">
        <v>145</v>
      </c>
      <c r="C47" s="11" t="s">
        <v>146</v>
      </c>
      <c r="D47" s="6" t="s">
        <v>147</v>
      </c>
      <c r="E47" s="2" t="s">
        <v>135</v>
      </c>
      <c r="F47" s="1" t="s">
        <v>45</v>
      </c>
      <c r="G47" s="5" t="s">
        <v>26</v>
      </c>
    </row>
    <row r="48" spans="1:7" ht="35.15" customHeight="1" x14ac:dyDescent="0.35">
      <c r="A48" s="2">
        <v>42</v>
      </c>
      <c r="B48" s="5" t="s">
        <v>148</v>
      </c>
      <c r="C48" s="11" t="s">
        <v>149</v>
      </c>
      <c r="D48" s="6" t="s">
        <v>150</v>
      </c>
      <c r="E48" s="2" t="s">
        <v>135</v>
      </c>
      <c r="F48" s="5" t="s">
        <v>26</v>
      </c>
      <c r="G48" s="5" t="s">
        <v>49</v>
      </c>
    </row>
    <row r="49" spans="1:7" ht="35.15" customHeight="1" x14ac:dyDescent="0.35">
      <c r="A49" s="2">
        <v>43</v>
      </c>
      <c r="B49" s="5" t="s">
        <v>151</v>
      </c>
      <c r="C49" s="7" t="s">
        <v>152</v>
      </c>
      <c r="D49" s="6" t="s">
        <v>153</v>
      </c>
      <c r="E49" s="2" t="s">
        <v>135</v>
      </c>
      <c r="F49" s="1" t="s">
        <v>19</v>
      </c>
      <c r="G49" s="1" t="s">
        <v>24</v>
      </c>
    </row>
    <row r="50" spans="1:7" ht="35.15" customHeight="1" x14ac:dyDescent="0.35">
      <c r="A50" s="2">
        <v>44</v>
      </c>
      <c r="B50" s="5" t="s">
        <v>154</v>
      </c>
      <c r="C50" s="7" t="s">
        <v>155</v>
      </c>
      <c r="D50" s="6" t="s">
        <v>156</v>
      </c>
      <c r="E50" s="2" t="s">
        <v>135</v>
      </c>
      <c r="F50" s="1" t="s">
        <v>45</v>
      </c>
      <c r="G50" s="34" t="s">
        <v>34</v>
      </c>
    </row>
    <row r="51" spans="1:7" ht="35.15" customHeight="1" x14ac:dyDescent="0.35">
      <c r="A51" s="2">
        <v>45</v>
      </c>
      <c r="B51" s="5" t="s">
        <v>157</v>
      </c>
      <c r="C51" s="8" t="s">
        <v>158</v>
      </c>
      <c r="D51" s="6" t="s">
        <v>159</v>
      </c>
      <c r="E51" s="2" t="s">
        <v>135</v>
      </c>
      <c r="F51" s="1" t="s">
        <v>25</v>
      </c>
      <c r="G51" s="1" t="s">
        <v>38</v>
      </c>
    </row>
    <row r="52" spans="1:7" ht="35.15" customHeight="1" x14ac:dyDescent="0.35">
      <c r="A52" s="2">
        <v>46</v>
      </c>
      <c r="B52" s="34" t="s">
        <v>160</v>
      </c>
      <c r="C52" s="7" t="s">
        <v>161</v>
      </c>
      <c r="D52" s="6" t="s">
        <v>162</v>
      </c>
      <c r="E52" s="2" t="s">
        <v>135</v>
      </c>
      <c r="F52" s="1" t="s">
        <v>24</v>
      </c>
      <c r="G52" s="1" t="s">
        <v>25</v>
      </c>
    </row>
    <row r="53" spans="1:7" ht="35.15" customHeight="1" x14ac:dyDescent="0.35">
      <c r="A53" s="2">
        <v>47</v>
      </c>
      <c r="B53" s="17" t="s">
        <v>163</v>
      </c>
      <c r="C53" s="11" t="s">
        <v>164</v>
      </c>
      <c r="D53" s="6" t="s">
        <v>165</v>
      </c>
      <c r="E53" s="2" t="s">
        <v>166</v>
      </c>
      <c r="F53" s="1" t="s">
        <v>24</v>
      </c>
      <c r="G53" s="1" t="s">
        <v>25</v>
      </c>
    </row>
    <row r="54" spans="1:7" ht="35.15" customHeight="1" x14ac:dyDescent="0.35">
      <c r="A54" s="2">
        <v>48</v>
      </c>
      <c r="B54" s="34" t="s">
        <v>167</v>
      </c>
      <c r="C54" s="7" t="s">
        <v>168</v>
      </c>
      <c r="D54" s="6" t="s">
        <v>169</v>
      </c>
      <c r="E54" s="2" t="s">
        <v>166</v>
      </c>
      <c r="F54" s="1" t="s">
        <v>24</v>
      </c>
      <c r="G54" s="1" t="s">
        <v>19</v>
      </c>
    </row>
    <row r="55" spans="1:7" ht="35.15" customHeight="1" x14ac:dyDescent="0.35">
      <c r="A55" s="2">
        <v>49</v>
      </c>
      <c r="B55" s="35" t="s">
        <v>170</v>
      </c>
      <c r="C55" s="11" t="s">
        <v>171</v>
      </c>
      <c r="D55" s="6" t="s">
        <v>172</v>
      </c>
      <c r="E55" s="2" t="s">
        <v>166</v>
      </c>
      <c r="F55" s="1" t="s">
        <v>49</v>
      </c>
      <c r="G55" s="1" t="s">
        <v>26</v>
      </c>
    </row>
    <row r="56" spans="1:7" ht="35.15" customHeight="1" x14ac:dyDescent="0.35">
      <c r="A56" s="2">
        <v>50</v>
      </c>
      <c r="B56" s="5" t="s">
        <v>173</v>
      </c>
      <c r="C56" s="11" t="s">
        <v>174</v>
      </c>
      <c r="D56" s="6" t="s">
        <v>175</v>
      </c>
      <c r="E56" s="2" t="s">
        <v>166</v>
      </c>
      <c r="F56" s="1" t="s">
        <v>20</v>
      </c>
      <c r="G56" s="5" t="s">
        <v>49</v>
      </c>
    </row>
    <row r="57" spans="1:7" ht="35.15" customHeight="1" x14ac:dyDescent="0.35">
      <c r="A57" s="2">
        <v>51</v>
      </c>
      <c r="B57" s="17" t="s">
        <v>38</v>
      </c>
      <c r="C57" s="11" t="s">
        <v>176</v>
      </c>
      <c r="D57" s="6" t="s">
        <v>177</v>
      </c>
      <c r="E57" s="2" t="s">
        <v>166</v>
      </c>
      <c r="F57" s="1" t="s">
        <v>26</v>
      </c>
      <c r="G57" s="5" t="s">
        <v>24</v>
      </c>
    </row>
    <row r="58" spans="1:7" ht="35.15" customHeight="1" x14ac:dyDescent="0.35">
      <c r="A58" s="2">
        <v>52</v>
      </c>
      <c r="B58" s="34" t="s">
        <v>178</v>
      </c>
      <c r="C58" s="11" t="s">
        <v>179</v>
      </c>
      <c r="D58" s="6" t="s">
        <v>180</v>
      </c>
      <c r="E58" s="2" t="s">
        <v>166</v>
      </c>
      <c r="F58" s="1" t="s">
        <v>45</v>
      </c>
      <c r="G58" s="34" t="s">
        <v>34</v>
      </c>
    </row>
    <row r="59" spans="1:7" ht="35.15" customHeight="1" x14ac:dyDescent="0.35">
      <c r="A59" s="2">
        <v>53</v>
      </c>
      <c r="B59" s="35" t="s">
        <v>181</v>
      </c>
      <c r="C59" s="11" t="s">
        <v>182</v>
      </c>
      <c r="D59" s="6" t="s">
        <v>183</v>
      </c>
      <c r="E59" s="2" t="s">
        <v>166</v>
      </c>
      <c r="F59" s="1" t="s">
        <v>19</v>
      </c>
      <c r="G59" s="5" t="s">
        <v>49</v>
      </c>
    </row>
    <row r="60" spans="1:7" ht="35.15" customHeight="1" x14ac:dyDescent="0.35">
      <c r="A60" s="2">
        <v>54</v>
      </c>
      <c r="B60" s="5" t="s">
        <v>184</v>
      </c>
      <c r="C60" s="7">
        <v>706050110</v>
      </c>
      <c r="D60" s="6" t="s">
        <v>185</v>
      </c>
      <c r="E60" s="2" t="s">
        <v>166</v>
      </c>
      <c r="F60" s="1" t="s">
        <v>25</v>
      </c>
      <c r="G60" s="34" t="s">
        <v>34</v>
      </c>
    </row>
    <row r="61" spans="1:7" ht="35.15" customHeight="1" x14ac:dyDescent="0.35">
      <c r="A61" s="2">
        <v>55</v>
      </c>
      <c r="B61" s="5" t="s">
        <v>186</v>
      </c>
      <c r="C61" s="8" t="s">
        <v>187</v>
      </c>
      <c r="D61" s="6" t="s">
        <v>188</v>
      </c>
      <c r="E61" s="2" t="s">
        <v>166</v>
      </c>
      <c r="F61" s="1" t="s">
        <v>34</v>
      </c>
      <c r="G61" s="5" t="s">
        <v>24</v>
      </c>
    </row>
    <row r="62" spans="1:7" ht="35.15" customHeight="1" x14ac:dyDescent="0.35">
      <c r="A62" s="2">
        <v>56</v>
      </c>
      <c r="B62" s="5" t="s">
        <v>189</v>
      </c>
      <c r="C62" s="9" t="s">
        <v>190</v>
      </c>
      <c r="D62" s="6" t="s">
        <v>191</v>
      </c>
      <c r="E62" s="2" t="s">
        <v>166</v>
      </c>
      <c r="F62" s="1" t="s">
        <v>20</v>
      </c>
      <c r="G62" s="1" t="s">
        <v>45</v>
      </c>
    </row>
    <row r="63" spans="1:7" ht="35.15" customHeight="1" x14ac:dyDescent="0.35">
      <c r="A63" s="2">
        <v>57</v>
      </c>
      <c r="B63" s="5" t="s">
        <v>192</v>
      </c>
      <c r="C63" s="9" t="s">
        <v>193</v>
      </c>
      <c r="D63" s="20" t="s">
        <v>194</v>
      </c>
      <c r="E63" s="2" t="s">
        <v>166</v>
      </c>
      <c r="F63" s="1" t="s">
        <v>34</v>
      </c>
      <c r="G63" s="1" t="s">
        <v>45</v>
      </c>
    </row>
    <row r="64" spans="1:7" ht="35.15" customHeight="1" x14ac:dyDescent="0.35">
      <c r="A64" s="2">
        <v>58</v>
      </c>
      <c r="B64" s="5" t="s">
        <v>195</v>
      </c>
      <c r="C64" s="19" t="s">
        <v>196</v>
      </c>
      <c r="D64" s="22" t="s">
        <v>197</v>
      </c>
      <c r="E64" s="2" t="s">
        <v>166</v>
      </c>
      <c r="F64" s="1" t="s">
        <v>45</v>
      </c>
      <c r="G64" s="1" t="s">
        <v>24</v>
      </c>
    </row>
    <row r="65" spans="1:7" ht="35.15" customHeight="1" x14ac:dyDescent="0.35">
      <c r="A65" s="2">
        <v>59</v>
      </c>
      <c r="B65" s="5" t="s">
        <v>198</v>
      </c>
      <c r="C65" s="11" t="s">
        <v>199</v>
      </c>
      <c r="D65" s="21" t="s">
        <v>200</v>
      </c>
      <c r="E65" s="2" t="s">
        <v>201</v>
      </c>
      <c r="F65" s="1" t="s">
        <v>26</v>
      </c>
      <c r="G65" s="1" t="s">
        <v>49</v>
      </c>
    </row>
    <row r="66" spans="1:7" ht="35.15" customHeight="1" x14ac:dyDescent="0.35">
      <c r="A66" s="2">
        <v>60</v>
      </c>
      <c r="B66" s="5" t="s">
        <v>202</v>
      </c>
      <c r="C66" s="11" t="s">
        <v>203</v>
      </c>
      <c r="D66" s="6" t="s">
        <v>204</v>
      </c>
      <c r="E66" s="2" t="s">
        <v>201</v>
      </c>
      <c r="F66" s="1" t="s">
        <v>49</v>
      </c>
      <c r="G66" s="1" t="s">
        <v>26</v>
      </c>
    </row>
    <row r="67" spans="1:7" ht="35.15" customHeight="1" x14ac:dyDescent="0.35">
      <c r="A67" s="2">
        <v>61</v>
      </c>
      <c r="B67" s="5" t="s">
        <v>24</v>
      </c>
      <c r="C67" s="7" t="s">
        <v>205</v>
      </c>
      <c r="D67" s="6" t="s">
        <v>206</v>
      </c>
      <c r="E67" s="2" t="s">
        <v>201</v>
      </c>
      <c r="F67" s="1" t="s">
        <v>49</v>
      </c>
      <c r="G67" s="34" t="s">
        <v>34</v>
      </c>
    </row>
    <row r="68" spans="1:7" ht="35.15" customHeight="1" x14ac:dyDescent="0.35">
      <c r="A68" s="2">
        <v>62</v>
      </c>
      <c r="B68" s="5" t="s">
        <v>207</v>
      </c>
      <c r="C68" s="7" t="s">
        <v>208</v>
      </c>
      <c r="D68" s="6" t="s">
        <v>209</v>
      </c>
      <c r="E68" s="2" t="s">
        <v>201</v>
      </c>
      <c r="F68" s="1" t="s">
        <v>24</v>
      </c>
      <c r="G68" s="5" t="s">
        <v>49</v>
      </c>
    </row>
    <row r="69" spans="1:7" ht="35.15" customHeight="1" x14ac:dyDescent="0.35">
      <c r="A69" s="2">
        <v>63</v>
      </c>
      <c r="B69" s="5" t="s">
        <v>210</v>
      </c>
      <c r="C69" s="11" t="s">
        <v>211</v>
      </c>
      <c r="D69" s="6" t="s">
        <v>212</v>
      </c>
      <c r="E69" s="2" t="s">
        <v>201</v>
      </c>
      <c r="F69" s="1" t="s">
        <v>25</v>
      </c>
      <c r="G69" s="1" t="s">
        <v>20</v>
      </c>
    </row>
    <row r="70" spans="1:7" ht="35.15" customHeight="1" x14ac:dyDescent="0.35">
      <c r="A70" s="2">
        <v>64</v>
      </c>
      <c r="B70" s="5" t="s">
        <v>213</v>
      </c>
      <c r="C70" s="7" t="s">
        <v>214</v>
      </c>
      <c r="D70" s="6" t="s">
        <v>215</v>
      </c>
      <c r="E70" s="2" t="s">
        <v>201</v>
      </c>
      <c r="F70" s="5" t="s">
        <v>26</v>
      </c>
      <c r="G70" s="5" t="s">
        <v>49</v>
      </c>
    </row>
    <row r="71" spans="1:7" ht="35.15" customHeight="1" x14ac:dyDescent="0.35">
      <c r="A71" s="2">
        <v>65</v>
      </c>
      <c r="B71" s="5" t="s">
        <v>216</v>
      </c>
      <c r="C71" s="11" t="s">
        <v>217</v>
      </c>
      <c r="D71" s="6" t="s">
        <v>218</v>
      </c>
      <c r="E71" s="2" t="s">
        <v>201</v>
      </c>
      <c r="F71" s="1" t="s">
        <v>38</v>
      </c>
      <c r="G71" s="1" t="s">
        <v>45</v>
      </c>
    </row>
    <row r="72" spans="1:7" ht="35.15" customHeight="1" x14ac:dyDescent="0.35">
      <c r="A72" s="2">
        <v>66</v>
      </c>
      <c r="B72" s="5" t="s">
        <v>219</v>
      </c>
      <c r="C72" s="11" t="s">
        <v>220</v>
      </c>
      <c r="D72" s="6" t="s">
        <v>221</v>
      </c>
      <c r="E72" s="2" t="s">
        <v>201</v>
      </c>
      <c r="F72" s="5" t="s">
        <v>49</v>
      </c>
      <c r="G72" s="5" t="s">
        <v>26</v>
      </c>
    </row>
    <row r="73" spans="1:7" ht="35.15" customHeight="1" x14ac:dyDescent="0.35">
      <c r="A73" s="2">
        <v>67</v>
      </c>
      <c r="B73" s="5" t="s">
        <v>222</v>
      </c>
      <c r="C73" s="11" t="s">
        <v>223</v>
      </c>
      <c r="D73" s="6" t="s">
        <v>224</v>
      </c>
      <c r="E73" s="2" t="s">
        <v>201</v>
      </c>
      <c r="F73" s="1" t="s">
        <v>38</v>
      </c>
      <c r="G73" s="1" t="s">
        <v>25</v>
      </c>
    </row>
    <row r="74" spans="1:7" ht="35.15" customHeight="1" x14ac:dyDescent="0.35">
      <c r="A74" s="2">
        <v>68</v>
      </c>
      <c r="B74" s="5" t="s">
        <v>225</v>
      </c>
      <c r="C74" s="11" t="s">
        <v>226</v>
      </c>
      <c r="D74" s="6" t="s">
        <v>227</v>
      </c>
      <c r="E74" s="2" t="s">
        <v>201</v>
      </c>
      <c r="F74" s="1" t="s">
        <v>25</v>
      </c>
      <c r="G74" s="1" t="s">
        <v>38</v>
      </c>
    </row>
    <row r="75" spans="1:7" ht="35.15" customHeight="1" x14ac:dyDescent="0.35">
      <c r="A75" s="2">
        <v>69</v>
      </c>
      <c r="B75" s="5" t="s">
        <v>228</v>
      </c>
      <c r="C75" s="8" t="s">
        <v>229</v>
      </c>
      <c r="D75" s="6" t="s">
        <v>230</v>
      </c>
      <c r="E75" s="2" t="s">
        <v>201</v>
      </c>
      <c r="F75" s="1" t="s">
        <v>49</v>
      </c>
      <c r="G75" s="1" t="s">
        <v>20</v>
      </c>
    </row>
    <row r="76" spans="1:7" ht="35.15" customHeight="1" x14ac:dyDescent="0.35">
      <c r="A76" s="2">
        <v>70</v>
      </c>
      <c r="B76" s="5" t="s">
        <v>231</v>
      </c>
      <c r="C76" s="8" t="s">
        <v>232</v>
      </c>
      <c r="D76" s="16" t="s">
        <v>233</v>
      </c>
      <c r="E76" s="2" t="s">
        <v>201</v>
      </c>
      <c r="F76" s="1" t="s">
        <v>26</v>
      </c>
      <c r="G76" s="5" t="s">
        <v>49</v>
      </c>
    </row>
    <row r="77" spans="1:7" ht="35.15" customHeight="1" x14ac:dyDescent="0.35">
      <c r="A77" s="2">
        <v>71</v>
      </c>
      <c r="B77" s="23" t="s">
        <v>234</v>
      </c>
      <c r="C77" s="8" t="s">
        <v>235</v>
      </c>
      <c r="D77" s="16" t="s">
        <v>236</v>
      </c>
      <c r="E77" s="2" t="s">
        <v>201</v>
      </c>
      <c r="F77" s="1" t="s">
        <v>45</v>
      </c>
      <c r="G77" s="1" t="s">
        <v>19</v>
      </c>
    </row>
    <row r="78" spans="1:7" ht="35.15" customHeight="1" x14ac:dyDescent="0.35">
      <c r="A78" s="2">
        <v>72</v>
      </c>
      <c r="B78" s="23" t="s">
        <v>237</v>
      </c>
      <c r="C78" s="8" t="s">
        <v>238</v>
      </c>
      <c r="D78" s="16" t="s">
        <v>239</v>
      </c>
      <c r="E78" s="2" t="s">
        <v>201</v>
      </c>
      <c r="F78" s="1" t="s">
        <v>25</v>
      </c>
      <c r="G78" s="1" t="s">
        <v>20</v>
      </c>
    </row>
    <row r="79" spans="1:7" ht="35.15" customHeight="1" x14ac:dyDescent="0.35">
      <c r="A79" s="2">
        <v>73</v>
      </c>
      <c r="B79" s="5" t="s">
        <v>240</v>
      </c>
      <c r="C79" s="7" t="s">
        <v>241</v>
      </c>
      <c r="D79" s="6" t="s">
        <v>242</v>
      </c>
      <c r="E79" s="2" t="s">
        <v>243</v>
      </c>
      <c r="F79" s="1" t="s">
        <v>34</v>
      </c>
      <c r="G79" s="1" t="s">
        <v>38</v>
      </c>
    </row>
    <row r="80" spans="1:7" ht="35.15" customHeight="1" x14ac:dyDescent="0.35">
      <c r="A80" s="2">
        <v>74</v>
      </c>
      <c r="B80" s="5" t="s">
        <v>244</v>
      </c>
      <c r="C80" s="7" t="s">
        <v>245</v>
      </c>
      <c r="D80" s="6" t="s">
        <v>246</v>
      </c>
      <c r="E80" s="2" t="s">
        <v>243</v>
      </c>
      <c r="F80" s="1" t="s">
        <v>38</v>
      </c>
      <c r="G80" s="1" t="s">
        <v>38</v>
      </c>
    </row>
    <row r="81" spans="1:7" ht="35.15" customHeight="1" x14ac:dyDescent="0.35">
      <c r="A81" s="2">
        <v>75</v>
      </c>
      <c r="B81" s="5" t="s">
        <v>247</v>
      </c>
      <c r="C81" s="11" t="s">
        <v>248</v>
      </c>
      <c r="D81" s="6" t="s">
        <v>249</v>
      </c>
      <c r="E81" s="2" t="s">
        <v>243</v>
      </c>
      <c r="F81" s="1" t="s">
        <v>34</v>
      </c>
      <c r="G81" s="1" t="s">
        <v>24</v>
      </c>
    </row>
    <row r="82" spans="1:7" ht="35.15" customHeight="1" x14ac:dyDescent="0.35">
      <c r="A82" s="2">
        <v>76</v>
      </c>
      <c r="B82" s="5" t="s">
        <v>250</v>
      </c>
      <c r="C82" s="7" t="s">
        <v>251</v>
      </c>
      <c r="D82" s="6" t="s">
        <v>252</v>
      </c>
      <c r="E82" s="2" t="s">
        <v>243</v>
      </c>
      <c r="F82" s="1" t="s">
        <v>38</v>
      </c>
      <c r="G82" s="1" t="s">
        <v>25</v>
      </c>
    </row>
    <row r="83" spans="1:7" ht="35.15" customHeight="1" x14ac:dyDescent="0.35">
      <c r="A83" s="2">
        <v>77</v>
      </c>
      <c r="B83" s="5" t="s">
        <v>253</v>
      </c>
      <c r="C83" s="10" t="s">
        <v>254</v>
      </c>
      <c r="D83" s="6" t="s">
        <v>255</v>
      </c>
      <c r="E83" s="2" t="s">
        <v>243</v>
      </c>
      <c r="F83" s="1" t="s">
        <v>38</v>
      </c>
      <c r="G83" s="1" t="s">
        <v>38</v>
      </c>
    </row>
    <row r="84" spans="1:7" ht="35.15" customHeight="1" x14ac:dyDescent="0.35">
      <c r="A84" s="2">
        <v>78</v>
      </c>
      <c r="B84" s="5" t="s">
        <v>256</v>
      </c>
      <c r="C84" s="7" t="s">
        <v>257</v>
      </c>
      <c r="D84" s="6" t="s">
        <v>258</v>
      </c>
      <c r="E84" s="2" t="s">
        <v>243</v>
      </c>
      <c r="F84" s="5" t="s">
        <v>26</v>
      </c>
      <c r="G84" s="1" t="s">
        <v>24</v>
      </c>
    </row>
    <row r="85" spans="1:7" ht="35.15" customHeight="1" x14ac:dyDescent="0.35">
      <c r="A85" s="2">
        <v>79</v>
      </c>
      <c r="B85" s="5" t="s">
        <v>259</v>
      </c>
      <c r="C85" s="7" t="s">
        <v>260</v>
      </c>
      <c r="D85" s="6" t="s">
        <v>261</v>
      </c>
      <c r="E85" s="2" t="s">
        <v>243</v>
      </c>
      <c r="F85" s="1" t="s">
        <v>24</v>
      </c>
      <c r="G85" s="1" t="s">
        <v>24</v>
      </c>
    </row>
    <row r="86" spans="1:7" ht="35.15" customHeight="1" x14ac:dyDescent="0.35">
      <c r="A86" s="2">
        <v>80</v>
      </c>
      <c r="B86" s="5" t="s">
        <v>262</v>
      </c>
      <c r="C86" s="12" t="s">
        <v>263</v>
      </c>
      <c r="D86" s="6" t="s">
        <v>264</v>
      </c>
      <c r="E86" s="2" t="s">
        <v>243</v>
      </c>
      <c r="F86" s="1" t="s">
        <v>20</v>
      </c>
      <c r="G86" s="1" t="s">
        <v>45</v>
      </c>
    </row>
    <row r="87" spans="1:7" ht="35.15" customHeight="1" x14ac:dyDescent="0.35">
      <c r="A87" s="2">
        <v>81</v>
      </c>
      <c r="B87" s="5" t="s">
        <v>25</v>
      </c>
      <c r="C87" s="10" t="s">
        <v>265</v>
      </c>
      <c r="D87" s="6" t="s">
        <v>266</v>
      </c>
      <c r="E87" s="2" t="s">
        <v>243</v>
      </c>
      <c r="F87" s="1" t="s">
        <v>49</v>
      </c>
      <c r="G87" s="17" t="s">
        <v>38</v>
      </c>
    </row>
    <row r="88" spans="1:7" ht="35.15" customHeight="1" x14ac:dyDescent="0.35">
      <c r="A88" s="2">
        <v>82</v>
      </c>
      <c r="B88" s="5" t="s">
        <v>267</v>
      </c>
      <c r="C88" s="12" t="s">
        <v>268</v>
      </c>
      <c r="D88" s="6" t="s">
        <v>269</v>
      </c>
      <c r="E88" s="2" t="s">
        <v>243</v>
      </c>
      <c r="F88" s="1" t="s">
        <v>49</v>
      </c>
      <c r="G88" s="1" t="s">
        <v>20</v>
      </c>
    </row>
    <row r="89" spans="1:7" ht="35.15" customHeight="1" x14ac:dyDescent="0.35">
      <c r="A89" s="2">
        <v>83</v>
      </c>
      <c r="B89" s="5" t="s">
        <v>270</v>
      </c>
      <c r="C89" s="10" t="s">
        <v>271</v>
      </c>
      <c r="D89" s="6" t="s">
        <v>272</v>
      </c>
      <c r="E89" s="2" t="s">
        <v>243</v>
      </c>
      <c r="F89" s="1" t="s">
        <v>26</v>
      </c>
      <c r="G89" s="1" t="s">
        <v>19</v>
      </c>
    </row>
    <row r="90" spans="1:7" ht="35.15" customHeight="1" x14ac:dyDescent="0.35">
      <c r="A90" s="2">
        <v>84</v>
      </c>
      <c r="B90" s="5" t="s">
        <v>273</v>
      </c>
      <c r="C90" s="12" t="s">
        <v>274</v>
      </c>
      <c r="D90" s="6" t="s">
        <v>275</v>
      </c>
      <c r="E90" s="2" t="s">
        <v>243</v>
      </c>
      <c r="F90" s="1" t="s">
        <v>24</v>
      </c>
      <c r="G90" s="1" t="s">
        <v>19</v>
      </c>
    </row>
    <row r="91" spans="1:7" ht="35.15" customHeight="1" x14ac:dyDescent="0.35">
      <c r="A91" s="2">
        <v>85</v>
      </c>
      <c r="B91" s="5" t="s">
        <v>276</v>
      </c>
      <c r="C91" s="10" t="s">
        <v>277</v>
      </c>
      <c r="D91" s="6" t="s">
        <v>278</v>
      </c>
      <c r="E91" s="2" t="s">
        <v>243</v>
      </c>
      <c r="F91" s="1" t="s">
        <v>38</v>
      </c>
      <c r="G91" s="1" t="s">
        <v>20</v>
      </c>
    </row>
    <row r="92" spans="1:7" ht="35.15" customHeight="1" x14ac:dyDescent="0.35">
      <c r="A92" s="2">
        <v>86</v>
      </c>
      <c r="B92" s="5" t="s">
        <v>279</v>
      </c>
      <c r="C92" s="8" t="s">
        <v>280</v>
      </c>
      <c r="D92" s="6" t="s">
        <v>281</v>
      </c>
      <c r="E92" s="2" t="s">
        <v>243</v>
      </c>
      <c r="F92" s="1" t="s">
        <v>34</v>
      </c>
      <c r="G92" s="1" t="s">
        <v>45</v>
      </c>
    </row>
    <row r="93" spans="1:7" ht="35.15" customHeight="1" x14ac:dyDescent="0.35">
      <c r="A93" s="2">
        <v>87</v>
      </c>
      <c r="B93" s="5" t="s">
        <v>282</v>
      </c>
      <c r="C93" s="8" t="s">
        <v>283</v>
      </c>
      <c r="D93" s="6" t="s">
        <v>284</v>
      </c>
      <c r="E93" s="2" t="s">
        <v>243</v>
      </c>
      <c r="F93" s="1" t="s">
        <v>38</v>
      </c>
      <c r="G93" s="1" t="s">
        <v>45</v>
      </c>
    </row>
    <row r="94" spans="1:7" ht="35.15" customHeight="1" x14ac:dyDescent="0.35">
      <c r="A94" s="2">
        <v>88</v>
      </c>
      <c r="B94" s="35" t="s">
        <v>285</v>
      </c>
      <c r="C94" s="9" t="s">
        <v>286</v>
      </c>
      <c r="D94" s="16" t="s">
        <v>287</v>
      </c>
      <c r="E94" s="2" t="s">
        <v>243</v>
      </c>
      <c r="F94" s="1" t="s">
        <v>19</v>
      </c>
      <c r="G94" s="1" t="s">
        <v>20</v>
      </c>
    </row>
    <row r="95" spans="1:7" ht="35.15" customHeight="1" x14ac:dyDescent="0.35">
      <c r="A95" s="2">
        <v>89</v>
      </c>
      <c r="B95" s="5" t="s">
        <v>288</v>
      </c>
      <c r="C95" s="11" t="s">
        <v>289</v>
      </c>
      <c r="D95" s="6" t="s">
        <v>290</v>
      </c>
      <c r="E95" s="2" t="s">
        <v>291</v>
      </c>
      <c r="F95" s="1" t="s">
        <v>20</v>
      </c>
      <c r="G95" s="1" t="s">
        <v>19</v>
      </c>
    </row>
    <row r="96" spans="1:7" ht="35.15" customHeight="1" x14ac:dyDescent="0.35">
      <c r="A96" s="2">
        <v>90</v>
      </c>
      <c r="B96" s="5" t="s">
        <v>292</v>
      </c>
      <c r="C96" s="11" t="s">
        <v>293</v>
      </c>
      <c r="D96" s="6" t="s">
        <v>294</v>
      </c>
      <c r="E96" s="2" t="s">
        <v>291</v>
      </c>
      <c r="F96" s="1" t="s">
        <v>45</v>
      </c>
      <c r="G96" s="1" t="s">
        <v>19</v>
      </c>
    </row>
    <row r="97" spans="1:9" ht="35.15" customHeight="1" x14ac:dyDescent="0.35">
      <c r="A97" s="2">
        <v>91</v>
      </c>
      <c r="B97" s="5" t="s">
        <v>295</v>
      </c>
      <c r="C97" s="7" t="s">
        <v>296</v>
      </c>
      <c r="D97" s="6" t="s">
        <v>297</v>
      </c>
      <c r="E97" s="2" t="s">
        <v>291</v>
      </c>
      <c r="F97" s="5" t="s">
        <v>26</v>
      </c>
      <c r="G97" s="1" t="s">
        <v>45</v>
      </c>
    </row>
    <row r="98" spans="1:9" ht="35.15" customHeight="1" x14ac:dyDescent="0.35">
      <c r="A98" s="2">
        <v>92</v>
      </c>
      <c r="B98" s="5" t="s">
        <v>298</v>
      </c>
      <c r="C98" s="12" t="s">
        <v>299</v>
      </c>
      <c r="D98" s="6" t="s">
        <v>300</v>
      </c>
      <c r="E98" s="2" t="s">
        <v>291</v>
      </c>
      <c r="F98" s="1" t="s">
        <v>25</v>
      </c>
      <c r="G98" s="1" t="s">
        <v>34</v>
      </c>
    </row>
    <row r="99" spans="1:9" ht="35.15" customHeight="1" x14ac:dyDescent="0.35">
      <c r="A99" s="2">
        <v>93</v>
      </c>
      <c r="B99" s="5" t="s">
        <v>301</v>
      </c>
      <c r="C99" s="11" t="s">
        <v>302</v>
      </c>
      <c r="D99" s="6" t="s">
        <v>303</v>
      </c>
      <c r="E99" s="2" t="s">
        <v>291</v>
      </c>
      <c r="F99" s="1" t="s">
        <v>38</v>
      </c>
      <c r="G99" s="1" t="s">
        <v>34</v>
      </c>
    </row>
    <row r="100" spans="1:9" ht="35.15" customHeight="1" x14ac:dyDescent="0.35">
      <c r="A100" s="2">
        <v>94</v>
      </c>
      <c r="B100" s="5" t="s">
        <v>304</v>
      </c>
      <c r="C100" s="7" t="s">
        <v>305</v>
      </c>
      <c r="D100" s="6" t="s">
        <v>306</v>
      </c>
      <c r="E100" s="2" t="s">
        <v>291</v>
      </c>
      <c r="F100" s="1" t="s">
        <v>34</v>
      </c>
      <c r="G100" s="1" t="s">
        <v>38</v>
      </c>
    </row>
    <row r="101" spans="1:9" ht="35.15" customHeight="1" x14ac:dyDescent="0.35">
      <c r="A101" s="2">
        <v>95</v>
      </c>
      <c r="B101" s="5" t="s">
        <v>307</v>
      </c>
      <c r="C101" s="7" t="s">
        <v>308</v>
      </c>
      <c r="D101" s="6" t="s">
        <v>309</v>
      </c>
      <c r="E101" s="2" t="s">
        <v>291</v>
      </c>
      <c r="F101" s="1" t="s">
        <v>34</v>
      </c>
      <c r="G101" s="1" t="s">
        <v>24</v>
      </c>
    </row>
    <row r="102" spans="1:9" ht="35.15" customHeight="1" x14ac:dyDescent="0.35">
      <c r="A102" s="2">
        <v>96</v>
      </c>
      <c r="B102" s="5" t="s">
        <v>310</v>
      </c>
      <c r="C102" s="7" t="s">
        <v>311</v>
      </c>
      <c r="D102" s="6" t="s">
        <v>312</v>
      </c>
      <c r="E102" s="2" t="s">
        <v>291</v>
      </c>
      <c r="F102" s="1" t="s">
        <v>38</v>
      </c>
      <c r="G102" s="1" t="s">
        <v>24</v>
      </c>
    </row>
    <row r="103" spans="1:9" ht="35.15" customHeight="1" x14ac:dyDescent="0.35">
      <c r="A103" s="2">
        <v>97</v>
      </c>
      <c r="B103" s="5" t="s">
        <v>313</v>
      </c>
      <c r="C103" s="11" t="s">
        <v>314</v>
      </c>
      <c r="D103" s="6" t="s">
        <v>315</v>
      </c>
      <c r="E103" s="2" t="s">
        <v>291</v>
      </c>
      <c r="F103" s="1" t="s">
        <v>20</v>
      </c>
      <c r="G103" s="1" t="s">
        <v>49</v>
      </c>
    </row>
    <row r="104" spans="1:9" ht="35.15" customHeight="1" x14ac:dyDescent="0.35">
      <c r="A104" s="2">
        <v>98</v>
      </c>
      <c r="B104" s="5" t="s">
        <v>316</v>
      </c>
      <c r="C104" s="11" t="s">
        <v>317</v>
      </c>
      <c r="D104" s="6" t="s">
        <v>318</v>
      </c>
      <c r="E104" s="2" t="s">
        <v>291</v>
      </c>
      <c r="F104" s="5" t="s">
        <v>26</v>
      </c>
      <c r="G104" s="1" t="s">
        <v>26</v>
      </c>
    </row>
    <row r="105" spans="1:9" ht="35.15" customHeight="1" x14ac:dyDescent="0.35">
      <c r="A105" s="2">
        <v>99</v>
      </c>
      <c r="B105" s="5" t="s">
        <v>319</v>
      </c>
      <c r="C105" s="11" t="s">
        <v>320</v>
      </c>
      <c r="D105" s="6" t="s">
        <v>321</v>
      </c>
      <c r="E105" s="2" t="s">
        <v>291</v>
      </c>
      <c r="F105" s="1" t="s">
        <v>19</v>
      </c>
      <c r="G105" s="1" t="s">
        <v>24</v>
      </c>
      <c r="I105" s="3" t="s">
        <v>322</v>
      </c>
    </row>
    <row r="106" spans="1:9" ht="35.15" customHeight="1" x14ac:dyDescent="0.35">
      <c r="A106" s="2">
        <v>100</v>
      </c>
      <c r="B106" s="5" t="s">
        <v>323</v>
      </c>
      <c r="C106" s="7" t="s">
        <v>324</v>
      </c>
      <c r="D106" s="6" t="s">
        <v>325</v>
      </c>
      <c r="E106" s="2" t="s">
        <v>291</v>
      </c>
      <c r="F106" s="1" t="s">
        <v>20</v>
      </c>
      <c r="G106" s="1" t="s">
        <v>25</v>
      </c>
    </row>
    <row r="107" spans="1:9" ht="35.15" customHeight="1" x14ac:dyDescent="0.35">
      <c r="A107" s="2">
        <v>101</v>
      </c>
      <c r="B107" s="5" t="s">
        <v>326</v>
      </c>
      <c r="C107" s="7" t="s">
        <v>327</v>
      </c>
      <c r="D107" s="6" t="s">
        <v>328</v>
      </c>
      <c r="E107" s="2" t="s">
        <v>291</v>
      </c>
      <c r="F107" s="1" t="s">
        <v>19</v>
      </c>
      <c r="G107" s="34" t="s">
        <v>34</v>
      </c>
    </row>
    <row r="108" spans="1:9" ht="35.15" customHeight="1" x14ac:dyDescent="0.35">
      <c r="A108" s="2">
        <v>102</v>
      </c>
      <c r="B108" s="5" t="s">
        <v>329</v>
      </c>
      <c r="C108" s="7" t="s">
        <v>330</v>
      </c>
      <c r="D108" s="6" t="s">
        <v>331</v>
      </c>
      <c r="E108" s="2" t="s">
        <v>291</v>
      </c>
      <c r="F108" s="1" t="s">
        <v>24</v>
      </c>
      <c r="G108" s="1" t="s">
        <v>25</v>
      </c>
    </row>
    <row r="109" spans="1:9" ht="35.15" customHeight="1" x14ac:dyDescent="0.35">
      <c r="A109" s="2">
        <v>103</v>
      </c>
      <c r="B109" s="5" t="s">
        <v>332</v>
      </c>
      <c r="C109" s="11" t="s">
        <v>333</v>
      </c>
      <c r="D109" s="6" t="s">
        <v>334</v>
      </c>
      <c r="E109" s="2" t="s">
        <v>291</v>
      </c>
      <c r="F109" s="1" t="s">
        <v>26</v>
      </c>
      <c r="G109" s="1" t="s">
        <v>49</v>
      </c>
    </row>
    <row r="110" spans="1:9" ht="35.15" customHeight="1" x14ac:dyDescent="0.35">
      <c r="A110" s="2">
        <v>104</v>
      </c>
      <c r="B110" s="5" t="s">
        <v>335</v>
      </c>
      <c r="C110" s="8" t="s">
        <v>336</v>
      </c>
      <c r="D110" s="6" t="s">
        <v>337</v>
      </c>
      <c r="E110" s="2" t="s">
        <v>291</v>
      </c>
      <c r="F110" s="1" t="s">
        <v>20</v>
      </c>
      <c r="G110" s="1" t="s">
        <v>25</v>
      </c>
    </row>
    <row r="111" spans="1:9" ht="35.15" customHeight="1" x14ac:dyDescent="0.35">
      <c r="A111" s="2">
        <v>105</v>
      </c>
      <c r="B111" s="5" t="s">
        <v>338</v>
      </c>
      <c r="C111" s="12" t="s">
        <v>339</v>
      </c>
      <c r="D111" s="6" t="s">
        <v>340</v>
      </c>
      <c r="E111" s="2" t="s">
        <v>291</v>
      </c>
      <c r="F111" s="1" t="s">
        <v>45</v>
      </c>
      <c r="G111" s="1" t="s">
        <v>25</v>
      </c>
    </row>
    <row r="112" spans="1:9" ht="35.15" customHeight="1" x14ac:dyDescent="0.35">
      <c r="A112" s="2">
        <v>106</v>
      </c>
      <c r="B112" s="5" t="s">
        <v>341</v>
      </c>
      <c r="C112" s="8" t="s">
        <v>342</v>
      </c>
      <c r="D112" s="6" t="s">
        <v>343</v>
      </c>
      <c r="E112" s="2" t="s">
        <v>291</v>
      </c>
      <c r="F112" s="5" t="s">
        <v>49</v>
      </c>
      <c r="G112" s="5" t="s">
        <v>26</v>
      </c>
    </row>
    <row r="113" spans="1:7" ht="35.15" customHeight="1" x14ac:dyDescent="0.35">
      <c r="A113" s="2">
        <v>107</v>
      </c>
      <c r="B113" s="5" t="s">
        <v>344</v>
      </c>
      <c r="C113" s="7" t="s">
        <v>345</v>
      </c>
      <c r="D113" s="6" t="s">
        <v>346</v>
      </c>
      <c r="E113" s="2" t="s">
        <v>291</v>
      </c>
      <c r="F113" s="1" t="s">
        <v>19</v>
      </c>
      <c r="G113" s="1" t="s">
        <v>45</v>
      </c>
    </row>
    <row r="114" spans="1:7" ht="35.15" customHeight="1" x14ac:dyDescent="0.35">
      <c r="A114" s="2">
        <v>108</v>
      </c>
      <c r="B114" s="17" t="s">
        <v>347</v>
      </c>
      <c r="C114" s="12" t="s">
        <v>348</v>
      </c>
      <c r="D114" s="6" t="s">
        <v>349</v>
      </c>
      <c r="E114" s="2" t="s">
        <v>291</v>
      </c>
      <c r="F114" s="1" t="s">
        <v>45</v>
      </c>
      <c r="G114" s="34" t="s">
        <v>34</v>
      </c>
    </row>
    <row r="115" spans="1:7" ht="35.15" customHeight="1" x14ac:dyDescent="0.35">
      <c r="A115" s="2">
        <v>109</v>
      </c>
      <c r="B115" s="34" t="s">
        <v>350</v>
      </c>
      <c r="C115" s="7" t="s">
        <v>351</v>
      </c>
      <c r="D115" s="6" t="s">
        <v>352</v>
      </c>
      <c r="E115" s="2" t="s">
        <v>353</v>
      </c>
      <c r="F115" s="1" t="s">
        <v>20</v>
      </c>
      <c r="G115" s="5" t="s">
        <v>49</v>
      </c>
    </row>
    <row r="116" spans="1:7" ht="35.15" customHeight="1" x14ac:dyDescent="0.35">
      <c r="A116" s="2">
        <v>110</v>
      </c>
      <c r="B116" s="34" t="s">
        <v>354</v>
      </c>
      <c r="C116" s="11" t="s">
        <v>355</v>
      </c>
      <c r="D116" s="6" t="s">
        <v>356</v>
      </c>
      <c r="E116" s="2" t="s">
        <v>353</v>
      </c>
      <c r="F116" s="5" t="s">
        <v>49</v>
      </c>
      <c r="G116" s="5" t="s">
        <v>26</v>
      </c>
    </row>
    <row r="117" spans="1:7" ht="35.15" customHeight="1" x14ac:dyDescent="0.35">
      <c r="A117" s="2">
        <v>111</v>
      </c>
      <c r="B117" s="34" t="s">
        <v>357</v>
      </c>
      <c r="C117" s="11" t="s">
        <v>358</v>
      </c>
      <c r="D117" s="6" t="s">
        <v>359</v>
      </c>
      <c r="E117" s="2" t="s">
        <v>353</v>
      </c>
      <c r="F117" s="1" t="s">
        <v>24</v>
      </c>
      <c r="G117" s="1" t="s">
        <v>34</v>
      </c>
    </row>
    <row r="118" spans="1:7" ht="35.15" customHeight="1" x14ac:dyDescent="0.35">
      <c r="A118" s="2">
        <v>112</v>
      </c>
      <c r="B118" s="34" t="s">
        <v>360</v>
      </c>
      <c r="C118" s="7" t="s">
        <v>361</v>
      </c>
      <c r="D118" s="6" t="s">
        <v>362</v>
      </c>
      <c r="E118" s="2" t="s">
        <v>353</v>
      </c>
      <c r="F118" s="1" t="s">
        <v>19</v>
      </c>
      <c r="G118" s="1" t="s">
        <v>20</v>
      </c>
    </row>
    <row r="119" spans="1:7" ht="35.15" customHeight="1" x14ac:dyDescent="0.35">
      <c r="A119" s="2">
        <v>113</v>
      </c>
      <c r="B119" s="34" t="s">
        <v>363</v>
      </c>
      <c r="C119" s="11" t="s">
        <v>364</v>
      </c>
      <c r="D119" s="6" t="s">
        <v>365</v>
      </c>
      <c r="E119" s="2" t="s">
        <v>353</v>
      </c>
      <c r="F119" s="1" t="s">
        <v>20</v>
      </c>
      <c r="G119" s="5" t="s">
        <v>49</v>
      </c>
    </row>
    <row r="120" spans="1:7" ht="35.15" customHeight="1" x14ac:dyDescent="0.35">
      <c r="A120" s="2">
        <v>114</v>
      </c>
      <c r="B120" s="34" t="s">
        <v>366</v>
      </c>
      <c r="C120" s="11" t="s">
        <v>367</v>
      </c>
      <c r="D120" s="6" t="s">
        <v>368</v>
      </c>
      <c r="E120" s="2" t="s">
        <v>353</v>
      </c>
      <c r="F120" s="1" t="s">
        <v>45</v>
      </c>
      <c r="G120" s="1" t="s">
        <v>19</v>
      </c>
    </row>
    <row r="121" spans="1:7" ht="35.15" customHeight="1" x14ac:dyDescent="0.35">
      <c r="A121" s="2">
        <v>115</v>
      </c>
      <c r="B121" s="34" t="s">
        <v>369</v>
      </c>
      <c r="C121" s="7" t="s">
        <v>370</v>
      </c>
      <c r="D121" s="6" t="s">
        <v>371</v>
      </c>
      <c r="E121" s="2" t="s">
        <v>353</v>
      </c>
      <c r="F121" s="1" t="s">
        <v>19</v>
      </c>
      <c r="G121" s="1" t="s">
        <v>45</v>
      </c>
    </row>
    <row r="122" spans="1:7" ht="35.15" customHeight="1" x14ac:dyDescent="0.35">
      <c r="A122" s="2">
        <v>116</v>
      </c>
      <c r="B122" s="35" t="s">
        <v>372</v>
      </c>
      <c r="C122" s="7" t="s">
        <v>373</v>
      </c>
      <c r="D122" s="6" t="s">
        <v>374</v>
      </c>
      <c r="E122" s="2" t="s">
        <v>353</v>
      </c>
      <c r="F122" s="1" t="s">
        <v>45</v>
      </c>
      <c r="G122" s="1" t="s">
        <v>20</v>
      </c>
    </row>
    <row r="123" spans="1:7" ht="35.15" customHeight="1" x14ac:dyDescent="0.35">
      <c r="A123" s="2">
        <v>117</v>
      </c>
      <c r="B123" s="34" t="s">
        <v>375</v>
      </c>
      <c r="C123" s="9" t="s">
        <v>376</v>
      </c>
      <c r="D123" s="6" t="s">
        <v>377</v>
      </c>
      <c r="E123" s="2" t="s">
        <v>353</v>
      </c>
      <c r="F123" s="1" t="s">
        <v>20</v>
      </c>
      <c r="G123" s="1" t="s">
        <v>45</v>
      </c>
    </row>
    <row r="124" spans="1:7" ht="35.15" customHeight="1" x14ac:dyDescent="0.35">
      <c r="A124" s="2">
        <v>118</v>
      </c>
      <c r="B124" s="34" t="s">
        <v>378</v>
      </c>
      <c r="C124" s="8" t="s">
        <v>379</v>
      </c>
      <c r="D124" s="6" t="s">
        <v>380</v>
      </c>
      <c r="E124" s="2" t="s">
        <v>353</v>
      </c>
      <c r="F124" s="1" t="s">
        <v>25</v>
      </c>
      <c r="G124" s="1" t="s">
        <v>38</v>
      </c>
    </row>
    <row r="125" spans="1:7" ht="35.15" customHeight="1" x14ac:dyDescent="0.35">
      <c r="A125" s="2">
        <v>119</v>
      </c>
      <c r="B125" s="37" t="s">
        <v>381</v>
      </c>
      <c r="C125" s="8" t="s">
        <v>382</v>
      </c>
      <c r="D125" s="16" t="s">
        <v>383</v>
      </c>
      <c r="E125" s="2" t="s">
        <v>353</v>
      </c>
      <c r="F125" s="1" t="s">
        <v>20</v>
      </c>
      <c r="G125" s="1" t="s">
        <v>19</v>
      </c>
    </row>
    <row r="126" spans="1:7" ht="35.15" customHeight="1" x14ac:dyDescent="0.35">
      <c r="A126" s="2">
        <v>120</v>
      </c>
      <c r="B126" s="34" t="s">
        <v>384</v>
      </c>
      <c r="C126" s="7" t="s">
        <v>385</v>
      </c>
      <c r="D126" s="6" t="s">
        <v>386</v>
      </c>
      <c r="E126" s="2" t="s">
        <v>387</v>
      </c>
      <c r="F126" s="1" t="s">
        <v>20</v>
      </c>
      <c r="G126" s="1" t="s">
        <v>25</v>
      </c>
    </row>
    <row r="127" spans="1:7" ht="35.15" customHeight="1" x14ac:dyDescent="0.35">
      <c r="A127" s="2">
        <v>121</v>
      </c>
      <c r="B127" s="34" t="s">
        <v>388</v>
      </c>
      <c r="C127" s="11" t="s">
        <v>389</v>
      </c>
      <c r="D127" s="6" t="s">
        <v>390</v>
      </c>
      <c r="E127" s="2" t="s">
        <v>387</v>
      </c>
      <c r="F127" s="1" t="s">
        <v>25</v>
      </c>
      <c r="G127" s="1" t="s">
        <v>20</v>
      </c>
    </row>
    <row r="128" spans="1:7" ht="35.15" customHeight="1" x14ac:dyDescent="0.35">
      <c r="A128" s="2">
        <v>122</v>
      </c>
      <c r="B128" s="35" t="s">
        <v>391</v>
      </c>
      <c r="C128" s="7" t="s">
        <v>392</v>
      </c>
      <c r="D128" s="6" t="s">
        <v>393</v>
      </c>
      <c r="E128" s="2" t="s">
        <v>387</v>
      </c>
      <c r="F128" s="1" t="s">
        <v>34</v>
      </c>
      <c r="G128" s="1" t="s">
        <v>45</v>
      </c>
    </row>
    <row r="129" spans="1:7" ht="35.15" customHeight="1" x14ac:dyDescent="0.35">
      <c r="A129" s="2">
        <v>123</v>
      </c>
      <c r="B129" s="17" t="s">
        <v>394</v>
      </c>
      <c r="C129" s="11" t="s">
        <v>395</v>
      </c>
      <c r="D129" s="6" t="s">
        <v>396</v>
      </c>
      <c r="E129" s="2" t="s">
        <v>387</v>
      </c>
      <c r="F129" s="1" t="s">
        <v>34</v>
      </c>
      <c r="G129" s="1" t="s">
        <v>24</v>
      </c>
    </row>
    <row r="130" spans="1:7" ht="35.15" customHeight="1" x14ac:dyDescent="0.35">
      <c r="A130" s="2">
        <v>124</v>
      </c>
      <c r="B130" s="34" t="s">
        <v>397</v>
      </c>
      <c r="C130" s="11" t="s">
        <v>398</v>
      </c>
      <c r="D130" s="6" t="s">
        <v>399</v>
      </c>
      <c r="E130" s="2" t="s">
        <v>387</v>
      </c>
      <c r="F130" s="1" t="s">
        <v>24</v>
      </c>
      <c r="G130" s="5" t="s">
        <v>26</v>
      </c>
    </row>
    <row r="131" spans="1:7" ht="35.15" customHeight="1" x14ac:dyDescent="0.35">
      <c r="A131" s="2">
        <v>125</v>
      </c>
      <c r="B131" s="34" t="s">
        <v>400</v>
      </c>
      <c r="C131" s="11" t="s">
        <v>401</v>
      </c>
      <c r="D131" s="6" t="s">
        <v>402</v>
      </c>
      <c r="E131" s="2" t="s">
        <v>387</v>
      </c>
      <c r="F131" s="5" t="s">
        <v>26</v>
      </c>
      <c r="G131" s="5" t="s">
        <v>49</v>
      </c>
    </row>
    <row r="132" spans="1:7" ht="35.15" customHeight="1" x14ac:dyDescent="0.35">
      <c r="A132" s="2">
        <v>126</v>
      </c>
      <c r="B132" s="34" t="s">
        <v>403</v>
      </c>
      <c r="C132" s="11" t="s">
        <v>404</v>
      </c>
      <c r="D132" s="6" t="s">
        <v>405</v>
      </c>
      <c r="E132" s="2" t="s">
        <v>387</v>
      </c>
      <c r="F132" s="1" t="s">
        <v>49</v>
      </c>
      <c r="G132" s="1" t="s">
        <v>20</v>
      </c>
    </row>
    <row r="133" spans="1:7" ht="35.15" customHeight="1" x14ac:dyDescent="0.35">
      <c r="A133" s="2">
        <v>127</v>
      </c>
      <c r="B133" s="34" t="s">
        <v>406</v>
      </c>
      <c r="C133" s="15" t="s">
        <v>407</v>
      </c>
      <c r="D133" s="6" t="s">
        <v>408</v>
      </c>
      <c r="E133" s="2" t="s">
        <v>387</v>
      </c>
      <c r="F133" s="1" t="s">
        <v>26</v>
      </c>
      <c r="G133" s="1" t="s">
        <v>19</v>
      </c>
    </row>
    <row r="134" spans="1:7" ht="35.15" customHeight="1" x14ac:dyDescent="0.35">
      <c r="A134" s="2">
        <v>128</v>
      </c>
      <c r="B134" s="34" t="s">
        <v>409</v>
      </c>
      <c r="C134" s="7" t="s">
        <v>410</v>
      </c>
      <c r="D134" s="6" t="s">
        <v>411</v>
      </c>
      <c r="E134" s="2" t="s">
        <v>387</v>
      </c>
      <c r="F134" s="1" t="s">
        <v>24</v>
      </c>
      <c r="G134" s="1" t="s">
        <v>19</v>
      </c>
    </row>
    <row r="135" spans="1:7" ht="35.15" customHeight="1" x14ac:dyDescent="0.35">
      <c r="A135" s="2">
        <v>129</v>
      </c>
      <c r="B135" s="34" t="s">
        <v>412</v>
      </c>
      <c r="C135" s="12" t="s">
        <v>413</v>
      </c>
      <c r="D135" s="6" t="s">
        <v>414</v>
      </c>
      <c r="E135" s="2" t="s">
        <v>415</v>
      </c>
      <c r="F135" s="1" t="s">
        <v>25</v>
      </c>
      <c r="G135" s="1" t="s">
        <v>20</v>
      </c>
    </row>
    <row r="136" spans="1:7" ht="35.15" customHeight="1" x14ac:dyDescent="0.35">
      <c r="A136" s="2">
        <v>130</v>
      </c>
      <c r="B136" s="34" t="s">
        <v>416</v>
      </c>
      <c r="C136" s="10" t="s">
        <v>417</v>
      </c>
      <c r="D136" s="6" t="s">
        <v>418</v>
      </c>
      <c r="E136" s="2" t="s">
        <v>415</v>
      </c>
      <c r="F136" s="1" t="s">
        <v>34</v>
      </c>
      <c r="G136" s="1" t="s">
        <v>45</v>
      </c>
    </row>
    <row r="137" spans="1:7" ht="35.15" customHeight="1" x14ac:dyDescent="0.35">
      <c r="A137" s="2">
        <v>131</v>
      </c>
      <c r="B137" s="34" t="s">
        <v>419</v>
      </c>
      <c r="C137" s="12" t="s">
        <v>420</v>
      </c>
      <c r="D137" s="6" t="s">
        <v>421</v>
      </c>
      <c r="E137" s="2" t="s">
        <v>415</v>
      </c>
      <c r="F137" s="1" t="s">
        <v>38</v>
      </c>
      <c r="G137" s="1" t="s">
        <v>45</v>
      </c>
    </row>
    <row r="138" spans="1:7" ht="35.15" customHeight="1" x14ac:dyDescent="0.35">
      <c r="A138" s="2">
        <v>132</v>
      </c>
      <c r="B138" s="34" t="s">
        <v>422</v>
      </c>
      <c r="C138" s="10" t="s">
        <v>423</v>
      </c>
      <c r="D138" s="6" t="s">
        <v>424</v>
      </c>
      <c r="E138" s="2" t="s">
        <v>415</v>
      </c>
      <c r="F138" s="5" t="s">
        <v>26</v>
      </c>
      <c r="G138" s="1" t="s">
        <v>20</v>
      </c>
    </row>
    <row r="139" spans="1:7" ht="35.15" customHeight="1" x14ac:dyDescent="0.35">
      <c r="A139" s="2">
        <v>133</v>
      </c>
      <c r="B139" s="35" t="s">
        <v>425</v>
      </c>
      <c r="C139" s="12" t="s">
        <v>426</v>
      </c>
      <c r="D139" s="6" t="s">
        <v>427</v>
      </c>
      <c r="E139" s="2" t="s">
        <v>415</v>
      </c>
      <c r="F139" s="1" t="s">
        <v>25</v>
      </c>
      <c r="G139" s="5" t="s">
        <v>26</v>
      </c>
    </row>
    <row r="140" spans="1:7" ht="35.15" customHeight="1" x14ac:dyDescent="0.35">
      <c r="A140" s="2">
        <v>134</v>
      </c>
      <c r="B140" s="17" t="s">
        <v>428</v>
      </c>
      <c r="C140" s="11" t="s">
        <v>429</v>
      </c>
      <c r="D140" s="6" t="s">
        <v>430</v>
      </c>
      <c r="E140" s="2" t="s">
        <v>415</v>
      </c>
      <c r="F140" s="1" t="s">
        <v>45</v>
      </c>
      <c r="G140" s="5" t="s">
        <v>26</v>
      </c>
    </row>
    <row r="141" spans="1:7" ht="35.15" customHeight="1" x14ac:dyDescent="0.35">
      <c r="A141" s="2">
        <v>135</v>
      </c>
      <c r="B141" s="35" t="s">
        <v>431</v>
      </c>
      <c r="C141" s="11" t="s">
        <v>432</v>
      </c>
      <c r="D141" s="6" t="s">
        <v>433</v>
      </c>
      <c r="E141" s="2" t="s">
        <v>415</v>
      </c>
      <c r="F141" s="5" t="s">
        <v>49</v>
      </c>
      <c r="G141" s="5" t="s">
        <v>26</v>
      </c>
    </row>
    <row r="142" spans="1:7" ht="35.15" customHeight="1" x14ac:dyDescent="0.35">
      <c r="A142" s="2">
        <v>136</v>
      </c>
      <c r="B142" s="38" t="s">
        <v>434</v>
      </c>
      <c r="C142" s="24" t="s">
        <v>435</v>
      </c>
      <c r="D142" s="25" t="s">
        <v>436</v>
      </c>
      <c r="E142" s="2" t="s">
        <v>415</v>
      </c>
      <c r="F142" s="1" t="s">
        <v>19</v>
      </c>
      <c r="G142" s="1" t="s">
        <v>45</v>
      </c>
    </row>
    <row r="143" spans="1:7" ht="35.15" customHeight="1" x14ac:dyDescent="0.35">
      <c r="A143" s="2">
        <v>137</v>
      </c>
      <c r="B143" s="37" t="s">
        <v>437</v>
      </c>
      <c r="C143" s="15" t="s">
        <v>438</v>
      </c>
      <c r="D143" s="22" t="s">
        <v>439</v>
      </c>
      <c r="E143" s="2" t="s">
        <v>415</v>
      </c>
      <c r="F143" s="1" t="s">
        <v>45</v>
      </c>
      <c r="G143" s="34" t="s">
        <v>34</v>
      </c>
    </row>
    <row r="144" spans="1:7" ht="35.15" customHeight="1" x14ac:dyDescent="0.35">
      <c r="A144" s="2">
        <v>138</v>
      </c>
      <c r="B144" s="39" t="s">
        <v>19</v>
      </c>
      <c r="C144" s="26" t="s">
        <v>440</v>
      </c>
      <c r="D144" s="21" t="s">
        <v>441</v>
      </c>
      <c r="E144" s="2" t="s">
        <v>442</v>
      </c>
      <c r="F144" s="1" t="s">
        <v>34</v>
      </c>
      <c r="G144" s="1" t="s">
        <v>25</v>
      </c>
    </row>
    <row r="145" spans="1:7" ht="35.15" customHeight="1" x14ac:dyDescent="0.35">
      <c r="A145" s="2">
        <v>139</v>
      </c>
      <c r="B145" s="34" t="s">
        <v>443</v>
      </c>
      <c r="C145" s="12" t="s">
        <v>444</v>
      </c>
      <c r="D145" s="6" t="s">
        <v>445</v>
      </c>
      <c r="E145" s="2" t="s">
        <v>442</v>
      </c>
      <c r="F145" s="1" t="s">
        <v>49</v>
      </c>
      <c r="G145" s="34" t="s">
        <v>34</v>
      </c>
    </row>
    <row r="146" spans="1:7" ht="35.15" customHeight="1" x14ac:dyDescent="0.35">
      <c r="A146" s="2">
        <v>140</v>
      </c>
      <c r="B146" s="34" t="s">
        <v>446</v>
      </c>
      <c r="C146" s="12" t="s">
        <v>447</v>
      </c>
      <c r="D146" s="6" t="s">
        <v>448</v>
      </c>
      <c r="E146" s="2" t="s">
        <v>442</v>
      </c>
      <c r="F146" s="1" t="s">
        <v>26</v>
      </c>
      <c r="G146" s="1" t="s">
        <v>19</v>
      </c>
    </row>
    <row r="147" spans="1:7" ht="35.15" customHeight="1" x14ac:dyDescent="0.35">
      <c r="A147" s="2">
        <v>141</v>
      </c>
      <c r="B147" s="34" t="s">
        <v>449</v>
      </c>
      <c r="C147" s="11" t="s">
        <v>450</v>
      </c>
      <c r="D147" s="6" t="s">
        <v>451</v>
      </c>
      <c r="E147" s="2" t="s">
        <v>442</v>
      </c>
      <c r="F147" s="1" t="s">
        <v>24</v>
      </c>
      <c r="G147" s="5" t="s">
        <v>49</v>
      </c>
    </row>
    <row r="148" spans="1:7" ht="35.15" customHeight="1" x14ac:dyDescent="0.35">
      <c r="A148" s="2">
        <v>142</v>
      </c>
      <c r="B148" s="34" t="s">
        <v>452</v>
      </c>
      <c r="C148" s="10" t="s">
        <v>453</v>
      </c>
      <c r="D148" s="6" t="s">
        <v>454</v>
      </c>
      <c r="E148" s="2" t="s">
        <v>442</v>
      </c>
      <c r="F148" s="1" t="s">
        <v>25</v>
      </c>
      <c r="G148" s="34" t="s">
        <v>34</v>
      </c>
    </row>
    <row r="149" spans="1:7" ht="35.15" customHeight="1" x14ac:dyDescent="0.35">
      <c r="A149" s="2">
        <v>143</v>
      </c>
      <c r="B149" s="34" t="s">
        <v>455</v>
      </c>
      <c r="C149" s="10" t="s">
        <v>456</v>
      </c>
      <c r="D149" s="6" t="s">
        <v>457</v>
      </c>
      <c r="E149" s="2" t="s">
        <v>442</v>
      </c>
      <c r="F149" s="1" t="s">
        <v>34</v>
      </c>
      <c r="G149" s="1" t="s">
        <v>38</v>
      </c>
    </row>
    <row r="150" spans="1:7" ht="35.15" customHeight="1" x14ac:dyDescent="0.35">
      <c r="A150" s="2">
        <v>144</v>
      </c>
      <c r="B150" s="34" t="s">
        <v>458</v>
      </c>
      <c r="C150" s="8" t="s">
        <v>459</v>
      </c>
      <c r="D150" s="6" t="s">
        <v>460</v>
      </c>
      <c r="E150" s="2" t="s">
        <v>442</v>
      </c>
      <c r="F150" s="1" t="s">
        <v>38</v>
      </c>
      <c r="G150" s="1" t="s">
        <v>24</v>
      </c>
    </row>
    <row r="151" spans="1:7" ht="35.15" customHeight="1" x14ac:dyDescent="0.35">
      <c r="A151" s="2">
        <v>145</v>
      </c>
      <c r="B151" s="34" t="s">
        <v>461</v>
      </c>
      <c r="C151" s="8" t="s">
        <v>462</v>
      </c>
      <c r="D151" s="6" t="s">
        <v>463</v>
      </c>
      <c r="E151" s="2" t="s">
        <v>442</v>
      </c>
      <c r="F151" s="1" t="s">
        <v>19</v>
      </c>
      <c r="G151" s="34" t="s">
        <v>34</v>
      </c>
    </row>
    <row r="152" spans="1:7" ht="35.15" customHeight="1" x14ac:dyDescent="0.35">
      <c r="A152" s="2">
        <v>146</v>
      </c>
      <c r="B152" s="34" t="s">
        <v>464</v>
      </c>
      <c r="C152" s="7">
        <v>1.9881225202012099E+17</v>
      </c>
      <c r="D152" s="6" t="s">
        <v>465</v>
      </c>
      <c r="E152" s="2" t="s">
        <v>466</v>
      </c>
      <c r="F152" s="1" t="s">
        <v>20</v>
      </c>
      <c r="G152" s="1" t="s">
        <v>19</v>
      </c>
    </row>
    <row r="153" spans="1:7" ht="35.15" customHeight="1" x14ac:dyDescent="0.35">
      <c r="A153" s="2">
        <v>147</v>
      </c>
      <c r="B153" s="34" t="s">
        <v>467</v>
      </c>
      <c r="C153" s="12" t="s">
        <v>468</v>
      </c>
      <c r="D153" s="6" t="s">
        <v>469</v>
      </c>
      <c r="E153" s="2" t="s">
        <v>466</v>
      </c>
      <c r="F153" s="1" t="s">
        <v>45</v>
      </c>
      <c r="G153" s="5" t="s">
        <v>26</v>
      </c>
    </row>
    <row r="154" spans="1:7" ht="35.15" customHeight="1" x14ac:dyDescent="0.35">
      <c r="A154" s="2">
        <v>148</v>
      </c>
      <c r="B154" s="34" t="s">
        <v>470</v>
      </c>
      <c r="C154" s="12" t="s">
        <v>471</v>
      </c>
      <c r="D154" s="6" t="s">
        <v>472</v>
      </c>
      <c r="E154" s="2" t="s">
        <v>473</v>
      </c>
      <c r="F154" s="1" t="s">
        <v>19</v>
      </c>
      <c r="G154" s="1" t="s">
        <v>38</v>
      </c>
    </row>
    <row r="155" spans="1:7" ht="35.15" customHeight="1" x14ac:dyDescent="0.35">
      <c r="A155" s="2">
        <v>149</v>
      </c>
      <c r="B155" s="34" t="s">
        <v>474</v>
      </c>
      <c r="C155" s="11" t="s">
        <v>475</v>
      </c>
      <c r="D155" s="6" t="s">
        <v>476</v>
      </c>
      <c r="E155" s="2" t="s">
        <v>473</v>
      </c>
      <c r="F155" s="1" t="s">
        <v>45</v>
      </c>
      <c r="G155" s="34" t="s">
        <v>34</v>
      </c>
    </row>
    <row r="156" spans="1:7" ht="35.15" customHeight="1" x14ac:dyDescent="0.35">
      <c r="A156" s="2">
        <v>150</v>
      </c>
      <c r="B156" s="5" t="s">
        <v>477</v>
      </c>
      <c r="C156" s="10" t="s">
        <v>478</v>
      </c>
      <c r="D156" s="6" t="s">
        <v>479</v>
      </c>
      <c r="E156" s="2" t="s">
        <v>473</v>
      </c>
      <c r="F156" s="1" t="s">
        <v>20</v>
      </c>
      <c r="G156" s="1" t="s">
        <v>38</v>
      </c>
    </row>
    <row r="157" spans="1:7" ht="35.15" customHeight="1" x14ac:dyDescent="0.35">
      <c r="A157" s="2">
        <v>151</v>
      </c>
      <c r="B157" s="35" t="s">
        <v>480</v>
      </c>
      <c r="C157" s="11" t="s">
        <v>481</v>
      </c>
      <c r="D157" s="6" t="s">
        <v>482</v>
      </c>
      <c r="E157" s="2" t="s">
        <v>473</v>
      </c>
      <c r="F157" s="1" t="s">
        <v>49</v>
      </c>
      <c r="G157" s="34" t="s">
        <v>34</v>
      </c>
    </row>
    <row r="158" spans="1:7" ht="35.15" customHeight="1" x14ac:dyDescent="0.35">
      <c r="A158" s="2">
        <v>152</v>
      </c>
      <c r="B158" s="5" t="s">
        <v>483</v>
      </c>
      <c r="C158" s="7" t="s">
        <v>484</v>
      </c>
      <c r="D158" s="6" t="s">
        <v>485</v>
      </c>
      <c r="E158" s="2" t="s">
        <v>473</v>
      </c>
      <c r="F158" s="1" t="s">
        <v>26</v>
      </c>
      <c r="G158" s="5" t="s">
        <v>26</v>
      </c>
    </row>
    <row r="159" spans="1:7" ht="35.15" customHeight="1" x14ac:dyDescent="0.35">
      <c r="A159" s="2">
        <v>153</v>
      </c>
      <c r="B159" s="34" t="s">
        <v>486</v>
      </c>
      <c r="C159" s="12" t="s">
        <v>487</v>
      </c>
      <c r="D159" s="6" t="s">
        <v>488</v>
      </c>
      <c r="E159" s="2" t="s">
        <v>473</v>
      </c>
      <c r="F159" s="1" t="s">
        <v>24</v>
      </c>
      <c r="G159" s="5" t="s">
        <v>49</v>
      </c>
    </row>
    <row r="160" spans="1:7" ht="35.15" customHeight="1" x14ac:dyDescent="0.35">
      <c r="A160" s="2">
        <v>154</v>
      </c>
      <c r="B160" s="27" t="s">
        <v>489</v>
      </c>
      <c r="C160" s="28" t="s">
        <v>490</v>
      </c>
      <c r="D160" s="25" t="s">
        <v>491</v>
      </c>
      <c r="E160" s="29" t="s">
        <v>473</v>
      </c>
      <c r="F160" s="1" t="s">
        <v>38</v>
      </c>
      <c r="G160" s="1" t="s">
        <v>25</v>
      </c>
    </row>
    <row r="161" spans="1:7" ht="35.15" customHeight="1" x14ac:dyDescent="0.35">
      <c r="A161" s="2">
        <v>155</v>
      </c>
      <c r="B161" s="32" t="s">
        <v>492</v>
      </c>
      <c r="C161" s="33" t="s">
        <v>493</v>
      </c>
      <c r="D161" s="22" t="s">
        <v>494</v>
      </c>
      <c r="E161" s="2" t="s">
        <v>473</v>
      </c>
      <c r="F161" s="1" t="s">
        <v>25</v>
      </c>
      <c r="G161" s="34" t="s">
        <v>34</v>
      </c>
    </row>
    <row r="162" spans="1:7" ht="35.15" customHeight="1" x14ac:dyDescent="0.35">
      <c r="A162" s="2">
        <v>156</v>
      </c>
      <c r="B162" s="39" t="s">
        <v>495</v>
      </c>
      <c r="C162" s="30" t="s">
        <v>496</v>
      </c>
      <c r="D162" s="21" t="s">
        <v>497</v>
      </c>
      <c r="E162" s="31" t="s">
        <v>498</v>
      </c>
      <c r="F162" s="1" t="s">
        <v>34</v>
      </c>
      <c r="G162" s="1" t="s">
        <v>38</v>
      </c>
    </row>
    <row r="163" spans="1:7" ht="35.15" customHeight="1" x14ac:dyDescent="0.35">
      <c r="A163" s="2">
        <v>157</v>
      </c>
      <c r="B163" s="34" t="s">
        <v>499</v>
      </c>
      <c r="C163" s="10" t="s">
        <v>500</v>
      </c>
      <c r="D163" s="6" t="s">
        <v>501</v>
      </c>
      <c r="E163" s="2" t="s">
        <v>498</v>
      </c>
      <c r="F163" s="1" t="s">
        <v>38</v>
      </c>
      <c r="G163" s="1" t="s">
        <v>45</v>
      </c>
    </row>
    <row r="164" spans="1:7" ht="35.15" customHeight="1" x14ac:dyDescent="0.35">
      <c r="A164" s="2">
        <v>158</v>
      </c>
      <c r="B164" s="34" t="s">
        <v>34</v>
      </c>
      <c r="C164" s="10" t="s">
        <v>502</v>
      </c>
      <c r="D164" s="6" t="s">
        <v>503</v>
      </c>
      <c r="E164" s="2" t="s">
        <v>498</v>
      </c>
      <c r="F164" s="1" t="s">
        <v>26</v>
      </c>
      <c r="G164" s="5" t="s">
        <v>25</v>
      </c>
    </row>
    <row r="165" spans="1:7" ht="35.15" customHeight="1" x14ac:dyDescent="0.35">
      <c r="A165" s="2">
        <v>159</v>
      </c>
      <c r="B165" s="34" t="s">
        <v>504</v>
      </c>
      <c r="C165" s="12" t="s">
        <v>505</v>
      </c>
      <c r="D165" s="6" t="s">
        <v>506</v>
      </c>
      <c r="E165" s="2" t="s">
        <v>498</v>
      </c>
      <c r="F165" s="5" t="s">
        <v>26</v>
      </c>
      <c r="G165" s="5" t="s">
        <v>49</v>
      </c>
    </row>
    <row r="166" spans="1:7" ht="35.15" customHeight="1" x14ac:dyDescent="0.35">
      <c r="A166" s="2">
        <v>160</v>
      </c>
      <c r="B166" s="34" t="s">
        <v>507</v>
      </c>
      <c r="C166" s="11" t="s">
        <v>508</v>
      </c>
      <c r="D166" s="6" t="s">
        <v>509</v>
      </c>
      <c r="E166" s="2" t="s">
        <v>498</v>
      </c>
      <c r="F166" s="1" t="s">
        <v>24</v>
      </c>
      <c r="G166" s="1" t="s">
        <v>38</v>
      </c>
    </row>
    <row r="167" spans="1:7" ht="35.15" customHeight="1" x14ac:dyDescent="0.35">
      <c r="A167" s="2">
        <v>161</v>
      </c>
      <c r="B167" s="34" t="s">
        <v>510</v>
      </c>
      <c r="C167" s="11" t="s">
        <v>511</v>
      </c>
      <c r="D167" s="6" t="s">
        <v>512</v>
      </c>
      <c r="E167" s="2" t="s">
        <v>498</v>
      </c>
      <c r="F167" s="5" t="s">
        <v>49</v>
      </c>
      <c r="G167" s="5" t="s">
        <v>26</v>
      </c>
    </row>
    <row r="168" spans="1:7" ht="35.15" customHeight="1" x14ac:dyDescent="0.35">
      <c r="A168" s="2">
        <v>162</v>
      </c>
      <c r="B168" s="34" t="s">
        <v>513</v>
      </c>
      <c r="C168" s="10" t="s">
        <v>514</v>
      </c>
      <c r="D168" s="6" t="s">
        <v>515</v>
      </c>
      <c r="E168" s="2" t="s">
        <v>498</v>
      </c>
      <c r="F168" s="1" t="s">
        <v>24</v>
      </c>
      <c r="G168" s="1" t="s">
        <v>25</v>
      </c>
    </row>
    <row r="169" spans="1:7" ht="35.15" customHeight="1" x14ac:dyDescent="0.35">
      <c r="A169" s="2">
        <v>163</v>
      </c>
      <c r="B169" s="34" t="s">
        <v>516</v>
      </c>
      <c r="C169" s="8" t="s">
        <v>517</v>
      </c>
      <c r="D169" s="6" t="s">
        <v>518</v>
      </c>
      <c r="E169" s="2" t="s">
        <v>498</v>
      </c>
      <c r="F169" s="1" t="s">
        <v>45</v>
      </c>
      <c r="G169" s="1" t="s">
        <v>19</v>
      </c>
    </row>
    <row r="170" spans="1:7" ht="35.15" customHeight="1" x14ac:dyDescent="0.35">
      <c r="A170" s="2">
        <v>164</v>
      </c>
      <c r="B170" s="34" t="s">
        <v>519</v>
      </c>
      <c r="C170" s="7" t="s">
        <v>520</v>
      </c>
      <c r="D170" s="6" t="s">
        <v>521</v>
      </c>
      <c r="E170" s="2" t="s">
        <v>498</v>
      </c>
      <c r="F170" s="1" t="s">
        <v>19</v>
      </c>
      <c r="G170" s="1" t="s">
        <v>45</v>
      </c>
    </row>
    <row r="171" spans="1:7" ht="35.15" customHeight="1" x14ac:dyDescent="0.35">
      <c r="A171" s="2">
        <v>165</v>
      </c>
      <c r="B171" s="34" t="s">
        <v>522</v>
      </c>
      <c r="C171" s="8" t="s">
        <v>523</v>
      </c>
      <c r="D171" s="6" t="s">
        <v>524</v>
      </c>
      <c r="E171" s="2" t="s">
        <v>498</v>
      </c>
      <c r="F171" s="1" t="s">
        <v>45</v>
      </c>
      <c r="G171" s="1" t="s">
        <v>24</v>
      </c>
    </row>
    <row r="172" spans="1:7" ht="35.15" customHeight="1" x14ac:dyDescent="0.35">
      <c r="A172" s="2">
        <v>166</v>
      </c>
      <c r="B172" s="34" t="s">
        <v>525</v>
      </c>
      <c r="C172" s="7" t="s">
        <v>526</v>
      </c>
      <c r="D172" s="6" t="s">
        <v>527</v>
      </c>
      <c r="E172" s="2" t="s">
        <v>528</v>
      </c>
      <c r="F172" s="1" t="s">
        <v>49</v>
      </c>
      <c r="G172" s="5" t="s">
        <v>26</v>
      </c>
    </row>
    <row r="173" spans="1:7" ht="35.15" customHeight="1" x14ac:dyDescent="0.35">
      <c r="A173" s="2">
        <v>167</v>
      </c>
      <c r="B173" s="34" t="s">
        <v>45</v>
      </c>
      <c r="C173" s="7" t="s">
        <v>529</v>
      </c>
      <c r="D173" s="6" t="s">
        <v>530</v>
      </c>
      <c r="E173" s="2" t="s">
        <v>528</v>
      </c>
      <c r="F173" s="1" t="s">
        <v>38</v>
      </c>
      <c r="G173" s="1" t="s">
        <v>34</v>
      </c>
    </row>
    <row r="174" spans="1:7" ht="35.15" customHeight="1" x14ac:dyDescent="0.35">
      <c r="A174" s="2">
        <v>168</v>
      </c>
      <c r="B174" s="34" t="s">
        <v>531</v>
      </c>
      <c r="C174" s="7" t="s">
        <v>532</v>
      </c>
      <c r="D174" s="6" t="s">
        <v>533</v>
      </c>
      <c r="E174" s="2" t="s">
        <v>528</v>
      </c>
      <c r="F174" s="1" t="s">
        <v>49</v>
      </c>
      <c r="G174" s="5" t="s">
        <v>25</v>
      </c>
    </row>
    <row r="175" spans="1:7" ht="35.15" customHeight="1" x14ac:dyDescent="0.35">
      <c r="A175" s="2">
        <v>169</v>
      </c>
      <c r="B175" s="34" t="s">
        <v>534</v>
      </c>
      <c r="C175" s="7" t="s">
        <v>535</v>
      </c>
      <c r="D175" s="6" t="s">
        <v>536</v>
      </c>
      <c r="E175" s="2" t="s">
        <v>528</v>
      </c>
      <c r="F175" s="1" t="s">
        <v>25</v>
      </c>
      <c r="G175" s="1" t="s">
        <v>24</v>
      </c>
    </row>
    <row r="176" spans="1:7" ht="35.15" customHeight="1" x14ac:dyDescent="0.35">
      <c r="A176" s="2">
        <v>170</v>
      </c>
      <c r="B176" s="34" t="s">
        <v>537</v>
      </c>
      <c r="C176" s="12" t="s">
        <v>538</v>
      </c>
      <c r="D176" s="6" t="s">
        <v>539</v>
      </c>
      <c r="E176" s="2" t="s">
        <v>528</v>
      </c>
      <c r="F176" s="1" t="s">
        <v>49</v>
      </c>
      <c r="G176" s="5" t="s">
        <v>25</v>
      </c>
    </row>
    <row r="177" spans="1:7" ht="35.15" customHeight="1" x14ac:dyDescent="0.35">
      <c r="A177" s="2">
        <v>171</v>
      </c>
      <c r="B177" s="34" t="s">
        <v>540</v>
      </c>
      <c r="C177" s="10" t="s">
        <v>541</v>
      </c>
      <c r="D177" s="6" t="s">
        <v>542</v>
      </c>
      <c r="E177" s="2" t="s">
        <v>528</v>
      </c>
      <c r="F177" s="1" t="s">
        <v>34</v>
      </c>
      <c r="G177" s="1" t="s">
        <v>38</v>
      </c>
    </row>
    <row r="178" spans="1:7" ht="35.15" customHeight="1" x14ac:dyDescent="0.35">
      <c r="A178" s="2">
        <v>172</v>
      </c>
      <c r="B178" s="34" t="s">
        <v>543</v>
      </c>
      <c r="C178" s="12" t="s">
        <v>544</v>
      </c>
      <c r="D178" s="6" t="s">
        <v>545</v>
      </c>
      <c r="E178" s="2" t="s">
        <v>528</v>
      </c>
      <c r="F178" s="1" t="s">
        <v>38</v>
      </c>
      <c r="G178" s="5" t="s">
        <v>25</v>
      </c>
    </row>
    <row r="179" spans="1:7" ht="35.15" customHeight="1" x14ac:dyDescent="0.35">
      <c r="A179" s="2">
        <v>173</v>
      </c>
      <c r="B179" s="34" t="s">
        <v>546</v>
      </c>
      <c r="C179" s="11" t="s">
        <v>547</v>
      </c>
      <c r="D179" s="6" t="s">
        <v>548</v>
      </c>
      <c r="E179" s="2" t="s">
        <v>528</v>
      </c>
      <c r="F179" s="1" t="s">
        <v>34</v>
      </c>
      <c r="G179" s="5" t="s">
        <v>25</v>
      </c>
    </row>
    <row r="180" spans="1:7" ht="35.15" customHeight="1" x14ac:dyDescent="0.35">
      <c r="A180" s="2">
        <v>174</v>
      </c>
      <c r="B180" s="34" t="s">
        <v>549</v>
      </c>
      <c r="C180" s="15" t="s">
        <v>550</v>
      </c>
      <c r="D180" s="6" t="s">
        <v>551</v>
      </c>
      <c r="E180" s="2" t="s">
        <v>528</v>
      </c>
      <c r="F180" s="1" t="s">
        <v>34</v>
      </c>
      <c r="G180" s="5" t="s">
        <v>25</v>
      </c>
    </row>
    <row r="181" spans="1:7" ht="35.15" customHeight="1" x14ac:dyDescent="0.35">
      <c r="A181" s="2">
        <v>175</v>
      </c>
      <c r="B181" s="34" t="s">
        <v>552</v>
      </c>
      <c r="C181" s="8" t="s">
        <v>553</v>
      </c>
      <c r="D181" s="6" t="s">
        <v>554</v>
      </c>
      <c r="E181" s="2" t="s">
        <v>528</v>
      </c>
      <c r="F181" s="1" t="s">
        <v>34</v>
      </c>
      <c r="G181" s="1" t="s">
        <v>24</v>
      </c>
    </row>
    <row r="182" spans="1:7" ht="35.15" customHeight="1" x14ac:dyDescent="0.35">
      <c r="A182" s="2">
        <v>176</v>
      </c>
      <c r="B182" s="34" t="s">
        <v>555</v>
      </c>
      <c r="C182" s="8" t="s">
        <v>556</v>
      </c>
      <c r="D182" s="16" t="s">
        <v>557</v>
      </c>
      <c r="E182" s="2" t="s">
        <v>528</v>
      </c>
      <c r="F182" s="1" t="s">
        <v>34</v>
      </c>
      <c r="G182" s="1" t="s">
        <v>24</v>
      </c>
    </row>
    <row r="183" spans="1:7" ht="35.15" customHeight="1" x14ac:dyDescent="0.35">
      <c r="A183" s="2">
        <v>177</v>
      </c>
      <c r="B183" s="37" t="s">
        <v>558</v>
      </c>
      <c r="C183" s="9" t="s">
        <v>559</v>
      </c>
      <c r="D183" s="16" t="s">
        <v>560</v>
      </c>
      <c r="E183" s="2" t="s">
        <v>561</v>
      </c>
      <c r="F183" s="1" t="s">
        <v>25</v>
      </c>
      <c r="G183" s="1" t="s">
        <v>24</v>
      </c>
    </row>
    <row r="185" spans="1:7" x14ac:dyDescent="0.35">
      <c r="F185" s="3" t="s">
        <v>562</v>
      </c>
    </row>
    <row r="186" spans="1:7" ht="33" customHeight="1" x14ac:dyDescent="0.35">
      <c r="F186" s="118" t="s">
        <v>563</v>
      </c>
      <c r="G186" s="118"/>
    </row>
    <row r="190" spans="1:7" ht="15.75" customHeight="1" x14ac:dyDescent="0.35">
      <c r="F190" s="117" t="s">
        <v>422</v>
      </c>
      <c r="G190" s="118"/>
    </row>
    <row r="191" spans="1:7" x14ac:dyDescent="0.35">
      <c r="F191" s="3" t="s">
        <v>564</v>
      </c>
    </row>
  </sheetData>
  <autoFilter ref="A6:H183" xr:uid="{00000000-0001-0000-0000-000000000000}"/>
  <mergeCells count="6">
    <mergeCell ref="A1:G1"/>
    <mergeCell ref="A2:G2"/>
    <mergeCell ref="A3:G3"/>
    <mergeCell ref="A4:G4"/>
    <mergeCell ref="F190:G190"/>
    <mergeCell ref="F186:G186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rowBreaks count="7" manualBreakCount="7">
    <brk id="75" max="6" man="1"/>
    <brk id="93" max="6" man="1"/>
    <brk id="111" max="6" man="1"/>
    <brk id="129" max="6" man="1"/>
    <brk id="147" max="6" man="1"/>
    <brk id="165" max="6" man="1"/>
    <brk id="181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A8A92-286E-410B-B901-7954B421823D}">
  <dimension ref="A1:L191"/>
  <sheetViews>
    <sheetView tabSelected="1" topLeftCell="A97" zoomScale="70" zoomScaleNormal="70" workbookViewId="0">
      <selection activeCell="N10" sqref="N10"/>
    </sheetView>
  </sheetViews>
  <sheetFormatPr defaultColWidth="9.1796875" defaultRowHeight="14.5" x14ac:dyDescent="0.35"/>
  <cols>
    <col min="1" max="1" width="6.7265625" style="106" customWidth="1"/>
    <col min="2" max="2" width="40.7265625" style="106" customWidth="1"/>
    <col min="3" max="3" width="27.26953125" style="106" hidden="1" customWidth="1"/>
    <col min="4" max="4" width="16.1796875" style="106" hidden="1" customWidth="1"/>
    <col min="5" max="5" width="20.453125" style="106" customWidth="1"/>
    <col min="6" max="7" width="27.81640625" style="106" customWidth="1"/>
    <col min="8" max="10" width="9.1796875" style="106"/>
    <col min="11" max="11" width="13.1796875" style="106" bestFit="1" customWidth="1"/>
    <col min="12" max="16384" width="9.1796875" style="106"/>
  </cols>
  <sheetData>
    <row r="1" spans="1:12" ht="15.5" x14ac:dyDescent="0.35">
      <c r="A1" s="121" t="s">
        <v>0</v>
      </c>
      <c r="B1" s="121"/>
      <c r="C1" s="121"/>
      <c r="D1" s="121"/>
      <c r="E1" s="121"/>
      <c r="F1" s="121"/>
      <c r="G1" s="121"/>
      <c r="H1" s="105"/>
      <c r="I1" s="105"/>
      <c r="J1" s="105"/>
      <c r="K1" s="105"/>
      <c r="L1" s="105"/>
    </row>
    <row r="2" spans="1:12" ht="15.5" x14ac:dyDescent="0.35">
      <c r="A2" s="121" t="s">
        <v>1</v>
      </c>
      <c r="B2" s="121"/>
      <c r="C2" s="121"/>
      <c r="D2" s="121"/>
      <c r="E2" s="121"/>
      <c r="F2" s="121"/>
      <c r="G2" s="121"/>
      <c r="H2" s="105"/>
      <c r="I2" s="105"/>
      <c r="J2" s="105"/>
      <c r="K2" s="105"/>
      <c r="L2" s="105"/>
    </row>
    <row r="3" spans="1:12" ht="15.5" x14ac:dyDescent="0.35">
      <c r="A3" s="121" t="s">
        <v>2</v>
      </c>
      <c r="B3" s="121"/>
      <c r="C3" s="121"/>
      <c r="D3" s="121"/>
      <c r="E3" s="121"/>
      <c r="F3" s="121"/>
      <c r="G3" s="121"/>
      <c r="H3" s="105"/>
      <c r="I3" s="105"/>
      <c r="J3" s="105"/>
      <c r="K3" s="105"/>
      <c r="L3" s="105"/>
    </row>
    <row r="4" spans="1:12" ht="15.5" x14ac:dyDescent="0.35">
      <c r="A4" s="121" t="s">
        <v>602</v>
      </c>
      <c r="B4" s="121"/>
      <c r="C4" s="121"/>
      <c r="D4" s="121"/>
      <c r="E4" s="121"/>
      <c r="F4" s="121"/>
      <c r="G4" s="121"/>
      <c r="H4" s="105"/>
      <c r="I4" s="105"/>
      <c r="J4" s="105"/>
      <c r="K4" s="105"/>
      <c r="L4" s="105"/>
    </row>
    <row r="5" spans="1:12" ht="15.5" x14ac:dyDescent="0.35">
      <c r="A5" s="107"/>
      <c r="B5" s="108"/>
      <c r="C5" s="109"/>
      <c r="D5" s="105"/>
      <c r="E5" s="107"/>
      <c r="F5" s="105"/>
      <c r="G5" s="105"/>
      <c r="H5" s="105"/>
      <c r="I5" s="105"/>
      <c r="J5" s="105"/>
      <c r="K5" s="105"/>
      <c r="L5" s="105"/>
    </row>
    <row r="6" spans="1:12" ht="31" x14ac:dyDescent="0.35">
      <c r="A6" s="66" t="s">
        <v>4</v>
      </c>
      <c r="B6" s="67" t="s">
        <v>5</v>
      </c>
      <c r="C6" s="68" t="s">
        <v>6</v>
      </c>
      <c r="D6" s="66" t="s">
        <v>7</v>
      </c>
      <c r="E6" s="66" t="s">
        <v>8</v>
      </c>
      <c r="F6" s="66" t="s">
        <v>9</v>
      </c>
      <c r="G6" s="66" t="s">
        <v>10</v>
      </c>
      <c r="H6" s="107"/>
      <c r="I6" s="107"/>
      <c r="J6" s="107"/>
      <c r="K6" s="107"/>
      <c r="L6" s="107"/>
    </row>
    <row r="7" spans="1:12" ht="31" x14ac:dyDescent="0.35">
      <c r="A7" s="66">
        <v>1</v>
      </c>
      <c r="B7" s="69" t="s">
        <v>35</v>
      </c>
      <c r="C7" s="70" t="s">
        <v>36</v>
      </c>
      <c r="D7" s="71" t="s">
        <v>37</v>
      </c>
      <c r="E7" s="66" t="s">
        <v>14</v>
      </c>
      <c r="F7" s="72" t="s">
        <v>570</v>
      </c>
      <c r="G7" s="72" t="s">
        <v>572</v>
      </c>
      <c r="H7" s="105"/>
      <c r="I7" s="105"/>
      <c r="J7" s="105"/>
      <c r="K7" s="105"/>
      <c r="L7" s="105"/>
    </row>
    <row r="8" spans="1:12" ht="31" x14ac:dyDescent="0.35">
      <c r="A8" s="66">
        <v>2</v>
      </c>
      <c r="B8" s="73" t="s">
        <v>59</v>
      </c>
      <c r="C8" s="74" t="s">
        <v>60</v>
      </c>
      <c r="D8" s="75" t="s">
        <v>61</v>
      </c>
      <c r="E8" s="66" t="s">
        <v>14</v>
      </c>
      <c r="F8" s="72" t="s">
        <v>572</v>
      </c>
      <c r="G8" s="72" t="s">
        <v>570</v>
      </c>
      <c r="H8" s="105"/>
      <c r="I8" s="105"/>
      <c r="J8" s="105"/>
      <c r="K8" s="105"/>
      <c r="L8" s="105"/>
    </row>
    <row r="9" spans="1:12" ht="31" x14ac:dyDescent="0.35">
      <c r="A9" s="66">
        <v>3</v>
      </c>
      <c r="B9" s="69" t="s">
        <v>16</v>
      </c>
      <c r="C9" s="76" t="s">
        <v>17</v>
      </c>
      <c r="D9" s="71" t="s">
        <v>18</v>
      </c>
      <c r="E9" s="66" t="s">
        <v>14</v>
      </c>
      <c r="F9" s="72" t="s">
        <v>64</v>
      </c>
      <c r="G9" s="72" t="s">
        <v>378</v>
      </c>
      <c r="H9" s="105"/>
      <c r="I9" s="105"/>
      <c r="J9" s="105"/>
      <c r="K9" s="105"/>
      <c r="L9" s="105"/>
    </row>
    <row r="10" spans="1:12" ht="31" x14ac:dyDescent="0.35">
      <c r="A10" s="66">
        <v>4</v>
      </c>
      <c r="B10" s="69" t="s">
        <v>42</v>
      </c>
      <c r="C10" s="70" t="s">
        <v>43</v>
      </c>
      <c r="D10" s="71" t="s">
        <v>44</v>
      </c>
      <c r="E10" s="66" t="s">
        <v>14</v>
      </c>
      <c r="F10" s="72" t="s">
        <v>378</v>
      </c>
      <c r="G10" s="72" t="s">
        <v>64</v>
      </c>
      <c r="H10" s="105"/>
      <c r="I10" s="105"/>
      <c r="J10" s="105"/>
      <c r="K10" s="105"/>
      <c r="L10" s="105"/>
    </row>
    <row r="11" spans="1:12" ht="31" x14ac:dyDescent="0.35">
      <c r="A11" s="66">
        <v>5</v>
      </c>
      <c r="B11" s="69" t="s">
        <v>56</v>
      </c>
      <c r="C11" s="70" t="s">
        <v>57</v>
      </c>
      <c r="D11" s="77" t="s">
        <v>58</v>
      </c>
      <c r="E11" s="66" t="s">
        <v>14</v>
      </c>
      <c r="F11" s="72" t="s">
        <v>64</v>
      </c>
      <c r="G11" s="72" t="s">
        <v>378</v>
      </c>
      <c r="H11" s="105"/>
      <c r="I11" s="105"/>
      <c r="J11" s="105"/>
      <c r="K11" s="105"/>
      <c r="L11" s="105"/>
    </row>
    <row r="12" spans="1:12" ht="31" x14ac:dyDescent="0.35">
      <c r="A12" s="66">
        <v>6</v>
      </c>
      <c r="B12" s="69" t="s">
        <v>11</v>
      </c>
      <c r="C12" s="70" t="s">
        <v>12</v>
      </c>
      <c r="D12" s="71" t="s">
        <v>13</v>
      </c>
      <c r="E12" s="66" t="s">
        <v>14</v>
      </c>
      <c r="F12" s="78" t="s">
        <v>202</v>
      </c>
      <c r="G12" s="78" t="s">
        <v>378</v>
      </c>
      <c r="H12" s="105"/>
      <c r="I12" s="105"/>
      <c r="J12" s="105"/>
      <c r="K12" s="105"/>
      <c r="L12" s="105"/>
    </row>
    <row r="13" spans="1:12" ht="31" x14ac:dyDescent="0.35">
      <c r="A13" s="66">
        <v>7</v>
      </c>
      <c r="B13" s="69" t="s">
        <v>39</v>
      </c>
      <c r="C13" s="70" t="s">
        <v>40</v>
      </c>
      <c r="D13" s="71" t="s">
        <v>41</v>
      </c>
      <c r="E13" s="66" t="s">
        <v>14</v>
      </c>
      <c r="F13" s="78" t="s">
        <v>378</v>
      </c>
      <c r="G13" s="78" t="s">
        <v>202</v>
      </c>
      <c r="H13" s="105"/>
      <c r="I13" s="105"/>
      <c r="J13" s="105"/>
      <c r="K13" s="105"/>
      <c r="L13" s="105"/>
    </row>
    <row r="14" spans="1:12" ht="31" x14ac:dyDescent="0.35">
      <c r="A14" s="66">
        <v>8</v>
      </c>
      <c r="B14" s="69" t="s">
        <v>50</v>
      </c>
      <c r="C14" s="70" t="s">
        <v>51</v>
      </c>
      <c r="D14" s="71" t="s">
        <v>52</v>
      </c>
      <c r="E14" s="66" t="s">
        <v>578</v>
      </c>
      <c r="F14" s="78" t="s">
        <v>202</v>
      </c>
      <c r="G14" s="78" t="s">
        <v>378</v>
      </c>
      <c r="H14" s="105"/>
      <c r="I14" s="105"/>
      <c r="J14" s="105"/>
      <c r="K14" s="105"/>
      <c r="L14" s="105"/>
    </row>
    <row r="15" spans="1:12" ht="31" x14ac:dyDescent="0.35">
      <c r="A15" s="66">
        <v>9</v>
      </c>
      <c r="B15" s="69" t="s">
        <v>26</v>
      </c>
      <c r="C15" s="70" t="s">
        <v>27</v>
      </c>
      <c r="D15" s="71" t="s">
        <v>28</v>
      </c>
      <c r="E15" s="66" t="s">
        <v>14</v>
      </c>
      <c r="F15" s="134" t="s">
        <v>29</v>
      </c>
      <c r="G15" s="78" t="s">
        <v>30</v>
      </c>
      <c r="H15" s="105"/>
      <c r="I15" s="105"/>
      <c r="J15" s="105"/>
      <c r="K15" s="105"/>
      <c r="L15" s="105"/>
    </row>
    <row r="16" spans="1:12" ht="31" x14ac:dyDescent="0.35">
      <c r="A16" s="66">
        <v>10</v>
      </c>
      <c r="B16" s="69" t="s">
        <v>31</v>
      </c>
      <c r="C16" s="70" t="s">
        <v>32</v>
      </c>
      <c r="D16" s="71" t="s">
        <v>33</v>
      </c>
      <c r="E16" s="66" t="s">
        <v>14</v>
      </c>
      <c r="F16" s="78" t="s">
        <v>26</v>
      </c>
      <c r="G16" s="78" t="s">
        <v>49</v>
      </c>
      <c r="H16" s="105"/>
      <c r="I16" s="105"/>
      <c r="J16" s="105"/>
      <c r="K16" s="105"/>
      <c r="L16" s="105"/>
    </row>
    <row r="17" spans="1:12" ht="31" x14ac:dyDescent="0.35">
      <c r="A17" s="66">
        <v>11</v>
      </c>
      <c r="B17" s="69" t="s">
        <v>46</v>
      </c>
      <c r="C17" s="70" t="s">
        <v>47</v>
      </c>
      <c r="D17" s="71" t="s">
        <v>48</v>
      </c>
      <c r="E17" s="66" t="s">
        <v>14</v>
      </c>
      <c r="F17" s="78" t="s">
        <v>49</v>
      </c>
      <c r="G17" s="78" t="s">
        <v>26</v>
      </c>
      <c r="H17" s="105"/>
      <c r="I17" s="105"/>
      <c r="J17" s="105"/>
      <c r="K17" s="105"/>
      <c r="L17" s="105"/>
    </row>
    <row r="18" spans="1:12" ht="31" x14ac:dyDescent="0.35">
      <c r="A18" s="66">
        <v>12</v>
      </c>
      <c r="B18" s="69" t="s">
        <v>49</v>
      </c>
      <c r="C18" s="79" t="s">
        <v>62</v>
      </c>
      <c r="D18" s="80" t="s">
        <v>63</v>
      </c>
      <c r="E18" s="66" t="s">
        <v>14</v>
      </c>
      <c r="F18" s="134" t="s">
        <v>29</v>
      </c>
      <c r="G18" s="78" t="s">
        <v>30</v>
      </c>
      <c r="H18" s="105"/>
      <c r="I18" s="105"/>
      <c r="J18" s="105"/>
      <c r="K18" s="105"/>
      <c r="L18" s="105"/>
    </row>
    <row r="19" spans="1:12" ht="31" x14ac:dyDescent="0.35">
      <c r="A19" s="66">
        <v>13</v>
      </c>
      <c r="B19" s="69" t="s">
        <v>68</v>
      </c>
      <c r="C19" s="70" t="s">
        <v>69</v>
      </c>
      <c r="D19" s="71" t="s">
        <v>70</v>
      </c>
      <c r="E19" s="66" t="s">
        <v>67</v>
      </c>
      <c r="F19" s="72" t="s">
        <v>26</v>
      </c>
      <c r="G19" s="72" t="s">
        <v>570</v>
      </c>
      <c r="H19" s="105"/>
      <c r="I19" s="105"/>
      <c r="J19" s="105"/>
      <c r="K19" s="105"/>
      <c r="L19" s="105"/>
    </row>
    <row r="20" spans="1:12" ht="31" x14ac:dyDescent="0.35">
      <c r="A20" s="66">
        <v>14</v>
      </c>
      <c r="B20" s="69" t="s">
        <v>71</v>
      </c>
      <c r="C20" s="70" t="s">
        <v>72</v>
      </c>
      <c r="D20" s="71" t="s">
        <v>73</v>
      </c>
      <c r="E20" s="66" t="s">
        <v>67</v>
      </c>
      <c r="F20" s="72" t="s">
        <v>570</v>
      </c>
      <c r="G20" s="72" t="s">
        <v>26</v>
      </c>
      <c r="H20" s="105"/>
      <c r="I20" s="105"/>
      <c r="J20" s="105"/>
      <c r="K20" s="105"/>
      <c r="L20" s="105"/>
    </row>
    <row r="21" spans="1:12" ht="31" x14ac:dyDescent="0.35">
      <c r="A21" s="66">
        <v>15</v>
      </c>
      <c r="B21" s="69" t="s">
        <v>98</v>
      </c>
      <c r="C21" s="79" t="s">
        <v>99</v>
      </c>
      <c r="D21" s="71" t="s">
        <v>100</v>
      </c>
      <c r="E21" s="66" t="s">
        <v>67</v>
      </c>
      <c r="F21" s="72" t="s">
        <v>26</v>
      </c>
      <c r="G21" s="72" t="s">
        <v>570</v>
      </c>
      <c r="H21" s="105"/>
      <c r="I21" s="105"/>
      <c r="J21" s="105"/>
      <c r="K21" s="105"/>
      <c r="L21" s="105"/>
    </row>
    <row r="22" spans="1:12" ht="31" x14ac:dyDescent="0.35">
      <c r="A22" s="66">
        <v>16</v>
      </c>
      <c r="B22" s="69" t="s">
        <v>74</v>
      </c>
      <c r="C22" s="76" t="s">
        <v>75</v>
      </c>
      <c r="D22" s="71" t="s">
        <v>76</v>
      </c>
      <c r="E22" s="66" t="s">
        <v>67</v>
      </c>
      <c r="F22" s="72" t="s">
        <v>378</v>
      </c>
      <c r="G22" s="72" t="s">
        <v>540</v>
      </c>
      <c r="H22" s="105"/>
      <c r="I22" s="105"/>
      <c r="J22" s="105"/>
      <c r="K22" s="105"/>
      <c r="L22" s="105"/>
    </row>
    <row r="23" spans="1:12" ht="31" x14ac:dyDescent="0.35">
      <c r="A23" s="66">
        <v>17</v>
      </c>
      <c r="B23" s="69" t="s">
        <v>77</v>
      </c>
      <c r="C23" s="70" t="s">
        <v>78</v>
      </c>
      <c r="D23" s="71" t="s">
        <v>79</v>
      </c>
      <c r="E23" s="66" t="s">
        <v>67</v>
      </c>
      <c r="F23" s="72" t="s">
        <v>540</v>
      </c>
      <c r="G23" s="72" t="s">
        <v>378</v>
      </c>
      <c r="H23" s="105"/>
      <c r="I23" s="105"/>
      <c r="J23" s="105"/>
      <c r="K23" s="105"/>
      <c r="L23" s="105"/>
    </row>
    <row r="24" spans="1:12" ht="31" x14ac:dyDescent="0.35">
      <c r="A24" s="66">
        <v>18</v>
      </c>
      <c r="B24" s="69" t="s">
        <v>80</v>
      </c>
      <c r="C24" s="70" t="s">
        <v>81</v>
      </c>
      <c r="D24" s="71" t="s">
        <v>82</v>
      </c>
      <c r="E24" s="66" t="s">
        <v>67</v>
      </c>
      <c r="F24" s="72" t="s">
        <v>378</v>
      </c>
      <c r="G24" s="72" t="s">
        <v>540</v>
      </c>
      <c r="H24" s="105"/>
      <c r="I24" s="105"/>
      <c r="J24" s="105"/>
      <c r="K24" s="105"/>
      <c r="L24" s="105"/>
    </row>
    <row r="25" spans="1:12" ht="31" x14ac:dyDescent="0.35">
      <c r="A25" s="66">
        <v>19</v>
      </c>
      <c r="B25" s="69" t="s">
        <v>86</v>
      </c>
      <c r="C25" s="70" t="s">
        <v>87</v>
      </c>
      <c r="D25" s="71" t="s">
        <v>88</v>
      </c>
      <c r="E25" s="66" t="s">
        <v>67</v>
      </c>
      <c r="F25" s="72" t="s">
        <v>540</v>
      </c>
      <c r="G25" s="72" t="s">
        <v>378</v>
      </c>
      <c r="H25" s="105"/>
      <c r="I25" s="105"/>
      <c r="J25" s="105"/>
      <c r="K25" s="105"/>
      <c r="L25" s="105"/>
    </row>
    <row r="26" spans="1:12" ht="31" x14ac:dyDescent="0.35">
      <c r="A26" s="66">
        <v>20</v>
      </c>
      <c r="B26" s="69" t="s">
        <v>64</v>
      </c>
      <c r="C26" s="76" t="s">
        <v>65</v>
      </c>
      <c r="D26" s="71" t="s">
        <v>66</v>
      </c>
      <c r="E26" s="66" t="s">
        <v>67</v>
      </c>
      <c r="F26" s="78" t="s">
        <v>378</v>
      </c>
      <c r="G26" s="78" t="s">
        <v>202</v>
      </c>
      <c r="H26" s="105"/>
      <c r="I26" s="105"/>
      <c r="J26" s="105"/>
      <c r="K26" s="105"/>
      <c r="L26" s="105"/>
    </row>
    <row r="27" spans="1:12" ht="31" x14ac:dyDescent="0.35">
      <c r="A27" s="66">
        <v>21</v>
      </c>
      <c r="B27" s="69" t="s">
        <v>83</v>
      </c>
      <c r="C27" s="70" t="s">
        <v>84</v>
      </c>
      <c r="D27" s="71" t="s">
        <v>85</v>
      </c>
      <c r="E27" s="66" t="s">
        <v>67</v>
      </c>
      <c r="F27" s="78" t="s">
        <v>202</v>
      </c>
      <c r="G27" s="78" t="s">
        <v>378</v>
      </c>
      <c r="H27" s="105"/>
      <c r="I27" s="105"/>
      <c r="J27" s="105"/>
      <c r="K27" s="105"/>
      <c r="L27" s="105"/>
    </row>
    <row r="28" spans="1:12" ht="31" x14ac:dyDescent="0.35">
      <c r="A28" s="66">
        <v>22</v>
      </c>
      <c r="B28" s="69" t="s">
        <v>89</v>
      </c>
      <c r="C28" s="70" t="s">
        <v>90</v>
      </c>
      <c r="D28" s="71" t="s">
        <v>91</v>
      </c>
      <c r="E28" s="66" t="s">
        <v>67</v>
      </c>
      <c r="F28" s="78" t="s">
        <v>49</v>
      </c>
      <c r="G28" s="78" t="s">
        <v>26</v>
      </c>
      <c r="H28" s="105"/>
      <c r="I28" s="105"/>
      <c r="J28" s="105"/>
      <c r="K28" s="105"/>
      <c r="L28" s="105"/>
    </row>
    <row r="29" spans="1:12" ht="31" x14ac:dyDescent="0.35">
      <c r="A29" s="66">
        <v>23</v>
      </c>
      <c r="B29" s="69" t="s">
        <v>92</v>
      </c>
      <c r="C29" s="70" t="s">
        <v>93</v>
      </c>
      <c r="D29" s="71" t="s">
        <v>94</v>
      </c>
      <c r="E29" s="66" t="s">
        <v>67</v>
      </c>
      <c r="F29" s="78" t="s">
        <v>26</v>
      </c>
      <c r="G29" s="78" t="s">
        <v>49</v>
      </c>
      <c r="H29" s="105"/>
      <c r="I29" s="105"/>
      <c r="J29" s="105"/>
      <c r="K29" s="105"/>
      <c r="L29" s="105"/>
    </row>
    <row r="30" spans="1:12" ht="31" x14ac:dyDescent="0.35">
      <c r="A30" s="66">
        <v>24</v>
      </c>
      <c r="B30" s="69" t="s">
        <v>95</v>
      </c>
      <c r="C30" s="70" t="s">
        <v>96</v>
      </c>
      <c r="D30" s="71" t="s">
        <v>97</v>
      </c>
      <c r="E30" s="66" t="s">
        <v>67</v>
      </c>
      <c r="F30" s="78" t="s">
        <v>49</v>
      </c>
      <c r="G30" s="78" t="s">
        <v>26</v>
      </c>
      <c r="H30" s="105"/>
      <c r="I30" s="105"/>
      <c r="J30" s="105"/>
      <c r="K30" s="105"/>
      <c r="L30" s="105"/>
    </row>
    <row r="31" spans="1:12" ht="31" x14ac:dyDescent="0.35">
      <c r="A31" s="66">
        <v>25</v>
      </c>
      <c r="B31" s="69" t="s">
        <v>101</v>
      </c>
      <c r="C31" s="70" t="s">
        <v>102</v>
      </c>
      <c r="D31" s="71" t="s">
        <v>103</v>
      </c>
      <c r="E31" s="66" t="s">
        <v>104</v>
      </c>
      <c r="F31" s="72" t="s">
        <v>570</v>
      </c>
      <c r="G31" s="72" t="s">
        <v>26</v>
      </c>
      <c r="H31" s="105"/>
      <c r="I31" s="105"/>
      <c r="J31" s="105"/>
      <c r="K31" s="105"/>
      <c r="L31" s="105"/>
    </row>
    <row r="32" spans="1:12" ht="31" x14ac:dyDescent="0.35">
      <c r="A32" s="66">
        <v>26</v>
      </c>
      <c r="B32" s="69" t="s">
        <v>111</v>
      </c>
      <c r="C32" s="76" t="s">
        <v>112</v>
      </c>
      <c r="D32" s="71" t="s">
        <v>113</v>
      </c>
      <c r="E32" s="66" t="s">
        <v>104</v>
      </c>
      <c r="F32" s="72" t="s">
        <v>26</v>
      </c>
      <c r="G32" s="72" t="s">
        <v>570</v>
      </c>
      <c r="H32" s="105"/>
      <c r="I32" s="105"/>
      <c r="J32" s="105"/>
      <c r="K32" s="105"/>
      <c r="L32" s="105"/>
    </row>
    <row r="33" spans="1:12" ht="31" x14ac:dyDescent="0.35">
      <c r="A33" s="66">
        <v>27</v>
      </c>
      <c r="B33" s="69" t="s">
        <v>114</v>
      </c>
      <c r="C33" s="76" t="s">
        <v>115</v>
      </c>
      <c r="D33" s="71" t="s">
        <v>116</v>
      </c>
      <c r="E33" s="66" t="s">
        <v>104</v>
      </c>
      <c r="F33" s="72" t="s">
        <v>570</v>
      </c>
      <c r="G33" s="72" t="s">
        <v>26</v>
      </c>
      <c r="H33" s="105"/>
      <c r="I33" s="105"/>
      <c r="J33" s="105"/>
      <c r="K33" s="105"/>
      <c r="L33" s="105"/>
    </row>
    <row r="34" spans="1:12" ht="31" x14ac:dyDescent="0.35">
      <c r="A34" s="66">
        <v>28</v>
      </c>
      <c r="B34" s="69" t="s">
        <v>120</v>
      </c>
      <c r="C34" s="76" t="s">
        <v>121</v>
      </c>
      <c r="D34" s="71" t="s">
        <v>122</v>
      </c>
      <c r="E34" s="66" t="s">
        <v>104</v>
      </c>
      <c r="F34" s="72" t="s">
        <v>26</v>
      </c>
      <c r="G34" s="72" t="s">
        <v>570</v>
      </c>
      <c r="H34" s="105"/>
      <c r="I34" s="105"/>
      <c r="J34" s="105"/>
      <c r="K34" s="105"/>
      <c r="L34" s="105"/>
    </row>
    <row r="35" spans="1:12" ht="31" x14ac:dyDescent="0.35">
      <c r="A35" s="66">
        <v>29</v>
      </c>
      <c r="B35" s="69" t="s">
        <v>126</v>
      </c>
      <c r="C35" s="79" t="s">
        <v>127</v>
      </c>
      <c r="D35" s="71" t="s">
        <v>128</v>
      </c>
      <c r="E35" s="66" t="s">
        <v>104</v>
      </c>
      <c r="F35" s="72" t="s">
        <v>202</v>
      </c>
      <c r="G35" s="72" t="s">
        <v>26</v>
      </c>
      <c r="H35" s="105"/>
      <c r="I35" s="105"/>
      <c r="J35" s="105"/>
      <c r="K35" s="105"/>
      <c r="L35" s="105"/>
    </row>
    <row r="36" spans="1:12" ht="31" x14ac:dyDescent="0.35">
      <c r="A36" s="66">
        <v>30</v>
      </c>
      <c r="B36" s="69" t="s">
        <v>105</v>
      </c>
      <c r="C36" s="70" t="s">
        <v>106</v>
      </c>
      <c r="D36" s="71" t="s">
        <v>107</v>
      </c>
      <c r="E36" s="66" t="s">
        <v>104</v>
      </c>
      <c r="F36" s="72" t="s">
        <v>64</v>
      </c>
      <c r="G36" s="72" t="s">
        <v>540</v>
      </c>
      <c r="H36" s="105"/>
      <c r="I36" s="105"/>
      <c r="J36" s="105"/>
      <c r="K36" s="105"/>
      <c r="L36" s="105"/>
    </row>
    <row r="37" spans="1:12" ht="31" x14ac:dyDescent="0.35">
      <c r="A37" s="66">
        <v>31</v>
      </c>
      <c r="B37" s="69" t="s">
        <v>108</v>
      </c>
      <c r="C37" s="76" t="s">
        <v>109</v>
      </c>
      <c r="D37" s="71" t="s">
        <v>110</v>
      </c>
      <c r="E37" s="66" t="s">
        <v>104</v>
      </c>
      <c r="F37" s="72" t="s">
        <v>378</v>
      </c>
      <c r="G37" s="72" t="s">
        <v>64</v>
      </c>
      <c r="H37" s="105"/>
      <c r="I37" s="105"/>
      <c r="J37" s="105"/>
      <c r="K37" s="105"/>
      <c r="L37" s="105"/>
    </row>
    <row r="38" spans="1:12" ht="31" x14ac:dyDescent="0.35">
      <c r="A38" s="66">
        <v>32</v>
      </c>
      <c r="B38" s="69" t="s">
        <v>117</v>
      </c>
      <c r="C38" s="76" t="s">
        <v>118</v>
      </c>
      <c r="D38" s="71" t="s">
        <v>119</v>
      </c>
      <c r="E38" s="66" t="s">
        <v>104</v>
      </c>
      <c r="F38" s="72" t="s">
        <v>64</v>
      </c>
      <c r="G38" s="72" t="s">
        <v>202</v>
      </c>
      <c r="H38" s="105"/>
      <c r="I38" s="105"/>
      <c r="J38" s="105"/>
      <c r="K38" s="105"/>
      <c r="L38" s="105"/>
    </row>
    <row r="39" spans="1:12" ht="31" x14ac:dyDescent="0.35">
      <c r="A39" s="66">
        <v>33</v>
      </c>
      <c r="B39" s="69" t="s">
        <v>123</v>
      </c>
      <c r="C39" s="70" t="s">
        <v>124</v>
      </c>
      <c r="D39" s="71" t="s">
        <v>125</v>
      </c>
      <c r="E39" s="66" t="s">
        <v>104</v>
      </c>
      <c r="F39" s="72" t="s">
        <v>202</v>
      </c>
      <c r="G39" s="72" t="s">
        <v>64</v>
      </c>
      <c r="H39" s="105"/>
      <c r="I39" s="105"/>
      <c r="J39" s="105"/>
      <c r="K39" s="105"/>
      <c r="L39" s="105"/>
    </row>
    <row r="40" spans="1:12" ht="15.5" x14ac:dyDescent="0.35">
      <c r="A40" s="66">
        <v>34</v>
      </c>
      <c r="B40" s="69" t="s">
        <v>129</v>
      </c>
      <c r="C40" s="79" t="s">
        <v>130</v>
      </c>
      <c r="D40" s="71" t="s">
        <v>131</v>
      </c>
      <c r="E40" s="66" t="s">
        <v>104</v>
      </c>
      <c r="F40" s="72" t="s">
        <v>64</v>
      </c>
      <c r="G40" s="72" t="s">
        <v>577</v>
      </c>
      <c r="H40" s="105"/>
      <c r="I40" s="105"/>
      <c r="J40" s="105"/>
      <c r="K40" s="105"/>
      <c r="L40" s="105"/>
    </row>
    <row r="41" spans="1:12" ht="31" x14ac:dyDescent="0.35">
      <c r="A41" s="66">
        <v>35</v>
      </c>
      <c r="B41" s="69" t="s">
        <v>132</v>
      </c>
      <c r="C41" s="76" t="s">
        <v>133</v>
      </c>
      <c r="D41" s="71" t="s">
        <v>134</v>
      </c>
      <c r="E41" s="66" t="s">
        <v>135</v>
      </c>
      <c r="F41" s="72" t="s">
        <v>26</v>
      </c>
      <c r="G41" s="72" t="s">
        <v>572</v>
      </c>
      <c r="H41" s="105"/>
      <c r="I41" s="105"/>
      <c r="J41" s="105"/>
      <c r="K41" s="105"/>
      <c r="L41" s="105"/>
    </row>
    <row r="42" spans="1:12" ht="31" x14ac:dyDescent="0.35">
      <c r="A42" s="66">
        <v>36</v>
      </c>
      <c r="B42" s="69" t="s">
        <v>142</v>
      </c>
      <c r="C42" s="70" t="s">
        <v>143</v>
      </c>
      <c r="D42" s="71" t="s">
        <v>144</v>
      </c>
      <c r="E42" s="66" t="s">
        <v>135</v>
      </c>
      <c r="F42" s="72" t="s">
        <v>572</v>
      </c>
      <c r="G42" s="72" t="s">
        <v>26</v>
      </c>
      <c r="H42" s="105"/>
      <c r="I42" s="105"/>
      <c r="J42" s="105"/>
      <c r="K42" s="105"/>
      <c r="L42" s="105"/>
    </row>
    <row r="43" spans="1:12" ht="31" x14ac:dyDescent="0.35">
      <c r="A43" s="66">
        <v>37</v>
      </c>
      <c r="B43" s="69" t="s">
        <v>151</v>
      </c>
      <c r="C43" s="76" t="s">
        <v>152</v>
      </c>
      <c r="D43" s="71" t="s">
        <v>153</v>
      </c>
      <c r="E43" s="66" t="s">
        <v>135</v>
      </c>
      <c r="F43" s="72" t="s">
        <v>49</v>
      </c>
      <c r="G43" s="72" t="s">
        <v>572</v>
      </c>
      <c r="H43" s="105"/>
      <c r="I43" s="105"/>
      <c r="J43" s="105"/>
      <c r="K43" s="105"/>
      <c r="L43" s="105"/>
    </row>
    <row r="44" spans="1:12" ht="31" x14ac:dyDescent="0.35">
      <c r="A44" s="66">
        <v>38</v>
      </c>
      <c r="B44" s="69" t="s">
        <v>154</v>
      </c>
      <c r="C44" s="76" t="s">
        <v>155</v>
      </c>
      <c r="D44" s="71" t="s">
        <v>156</v>
      </c>
      <c r="E44" s="66" t="s">
        <v>135</v>
      </c>
      <c r="F44" s="72" t="s">
        <v>572</v>
      </c>
      <c r="G44" s="72" t="s">
        <v>49</v>
      </c>
      <c r="H44" s="105"/>
      <c r="I44" s="105"/>
      <c r="J44" s="105"/>
      <c r="K44" s="105"/>
      <c r="L44" s="105"/>
    </row>
    <row r="45" spans="1:12" ht="31" x14ac:dyDescent="0.35">
      <c r="A45" s="66">
        <v>39</v>
      </c>
      <c r="B45" s="69" t="s">
        <v>157</v>
      </c>
      <c r="C45" s="79" t="s">
        <v>158</v>
      </c>
      <c r="D45" s="71" t="s">
        <v>159</v>
      </c>
      <c r="E45" s="66" t="s">
        <v>135</v>
      </c>
      <c r="F45" s="72" t="s">
        <v>49</v>
      </c>
      <c r="G45" s="72" t="s">
        <v>572</v>
      </c>
      <c r="H45" s="105"/>
      <c r="I45" s="105"/>
      <c r="J45" s="105"/>
      <c r="K45" s="105"/>
      <c r="L45" s="105"/>
    </row>
    <row r="46" spans="1:12" ht="31" x14ac:dyDescent="0.35">
      <c r="A46" s="66">
        <v>40</v>
      </c>
      <c r="B46" s="81" t="s">
        <v>160</v>
      </c>
      <c r="C46" s="76" t="s">
        <v>161</v>
      </c>
      <c r="D46" s="71" t="s">
        <v>162</v>
      </c>
      <c r="E46" s="66" t="s">
        <v>135</v>
      </c>
      <c r="F46" s="72" t="s">
        <v>572</v>
      </c>
      <c r="G46" s="72" t="s">
        <v>49</v>
      </c>
      <c r="H46" s="105"/>
      <c r="I46" s="105"/>
      <c r="J46" s="105"/>
      <c r="K46" s="105"/>
      <c r="L46" s="105"/>
    </row>
    <row r="47" spans="1:12" ht="15.5" x14ac:dyDescent="0.35">
      <c r="A47" s="66">
        <v>41</v>
      </c>
      <c r="B47" s="69" t="s">
        <v>139</v>
      </c>
      <c r="C47" s="70" t="s">
        <v>140</v>
      </c>
      <c r="D47" s="71" t="s">
        <v>141</v>
      </c>
      <c r="E47" s="66" t="s">
        <v>135</v>
      </c>
      <c r="F47" s="72" t="s">
        <v>577</v>
      </c>
      <c r="G47" s="72" t="s">
        <v>64</v>
      </c>
      <c r="H47" s="105"/>
      <c r="I47" s="105"/>
      <c r="J47" s="105"/>
      <c r="K47" s="105"/>
      <c r="L47" s="105"/>
    </row>
    <row r="48" spans="1:12" ht="31" x14ac:dyDescent="0.35">
      <c r="A48" s="66">
        <v>42</v>
      </c>
      <c r="B48" s="69" t="s">
        <v>136</v>
      </c>
      <c r="C48" s="70" t="s">
        <v>137</v>
      </c>
      <c r="D48" s="71" t="s">
        <v>138</v>
      </c>
      <c r="E48" s="66" t="s">
        <v>135</v>
      </c>
      <c r="F48" s="78" t="s">
        <v>26</v>
      </c>
      <c r="G48" s="78" t="s">
        <v>49</v>
      </c>
      <c r="H48" s="105"/>
      <c r="I48" s="105"/>
      <c r="J48" s="105"/>
      <c r="K48" s="105"/>
      <c r="L48" s="105"/>
    </row>
    <row r="49" spans="1:12" ht="31" x14ac:dyDescent="0.35">
      <c r="A49" s="66">
        <v>43</v>
      </c>
      <c r="B49" s="69" t="s">
        <v>148</v>
      </c>
      <c r="C49" s="70" t="s">
        <v>567</v>
      </c>
      <c r="D49" s="71" t="s">
        <v>150</v>
      </c>
      <c r="E49" s="66" t="s">
        <v>135</v>
      </c>
      <c r="F49" s="78" t="s">
        <v>49</v>
      </c>
      <c r="G49" s="78" t="s">
        <v>26</v>
      </c>
      <c r="H49" s="105"/>
      <c r="I49" s="105"/>
      <c r="J49" s="105"/>
      <c r="K49" s="105"/>
      <c r="L49" s="105"/>
    </row>
    <row r="50" spans="1:12" ht="31" x14ac:dyDescent="0.35">
      <c r="A50" s="66">
        <v>44</v>
      </c>
      <c r="B50" s="81" t="s">
        <v>178</v>
      </c>
      <c r="C50" s="70" t="s">
        <v>179</v>
      </c>
      <c r="D50" s="71" t="s">
        <v>180</v>
      </c>
      <c r="E50" s="66" t="s">
        <v>166</v>
      </c>
      <c r="F50" s="72" t="s">
        <v>49</v>
      </c>
      <c r="G50" s="72" t="s">
        <v>572</v>
      </c>
      <c r="H50" s="105"/>
      <c r="I50" s="105"/>
      <c r="J50" s="105"/>
      <c r="K50" s="105"/>
      <c r="L50" s="105"/>
    </row>
    <row r="51" spans="1:12" ht="31" x14ac:dyDescent="0.35">
      <c r="A51" s="66">
        <v>45</v>
      </c>
      <c r="B51" s="82" t="s">
        <v>181</v>
      </c>
      <c r="C51" s="70" t="s">
        <v>182</v>
      </c>
      <c r="D51" s="71" t="s">
        <v>183</v>
      </c>
      <c r="E51" s="66" t="s">
        <v>166</v>
      </c>
      <c r="F51" s="72" t="s">
        <v>572</v>
      </c>
      <c r="G51" s="72" t="s">
        <v>49</v>
      </c>
      <c r="H51" s="105"/>
      <c r="I51" s="105"/>
      <c r="J51" s="105"/>
      <c r="K51" s="105"/>
      <c r="L51" s="105"/>
    </row>
    <row r="52" spans="1:12" ht="31" x14ac:dyDescent="0.35">
      <c r="A52" s="66">
        <v>46</v>
      </c>
      <c r="B52" s="69" t="s">
        <v>189</v>
      </c>
      <c r="C52" s="83" t="s">
        <v>190</v>
      </c>
      <c r="D52" s="71" t="s">
        <v>191</v>
      </c>
      <c r="E52" s="66" t="s">
        <v>166</v>
      </c>
      <c r="F52" s="72" t="s">
        <v>49</v>
      </c>
      <c r="G52" s="72" t="s">
        <v>572</v>
      </c>
      <c r="H52" s="105"/>
      <c r="I52" s="105"/>
      <c r="J52" s="105"/>
      <c r="K52" s="105"/>
      <c r="L52" s="105"/>
    </row>
    <row r="53" spans="1:12" ht="31" x14ac:dyDescent="0.35">
      <c r="A53" s="66">
        <v>47</v>
      </c>
      <c r="B53" s="69" t="s">
        <v>192</v>
      </c>
      <c r="C53" s="83" t="s">
        <v>193</v>
      </c>
      <c r="D53" s="84" t="s">
        <v>194</v>
      </c>
      <c r="E53" s="66" t="s">
        <v>166</v>
      </c>
      <c r="F53" s="72" t="s">
        <v>139</v>
      </c>
      <c r="G53" s="72" t="s">
        <v>49</v>
      </c>
      <c r="H53" s="105"/>
      <c r="I53" s="105"/>
      <c r="J53" s="105"/>
      <c r="K53" s="105"/>
      <c r="L53" s="105"/>
    </row>
    <row r="54" spans="1:12" ht="31" x14ac:dyDescent="0.35">
      <c r="A54" s="66">
        <v>48</v>
      </c>
      <c r="B54" s="69" t="s">
        <v>195</v>
      </c>
      <c r="C54" s="74" t="s">
        <v>196</v>
      </c>
      <c r="D54" s="75" t="s">
        <v>197</v>
      </c>
      <c r="E54" s="66" t="s">
        <v>166</v>
      </c>
      <c r="F54" s="72" t="s">
        <v>49</v>
      </c>
      <c r="G54" s="72" t="s">
        <v>139</v>
      </c>
      <c r="H54" s="105"/>
      <c r="I54" s="105"/>
      <c r="J54" s="105"/>
      <c r="K54" s="105"/>
      <c r="L54" s="105"/>
    </row>
    <row r="55" spans="1:12" ht="15.5" x14ac:dyDescent="0.35">
      <c r="A55" s="66">
        <v>49</v>
      </c>
      <c r="B55" s="81" t="s">
        <v>167</v>
      </c>
      <c r="C55" s="76" t="s">
        <v>168</v>
      </c>
      <c r="D55" s="71" t="s">
        <v>169</v>
      </c>
      <c r="E55" s="66" t="s">
        <v>166</v>
      </c>
      <c r="F55" s="72" t="s">
        <v>64</v>
      </c>
      <c r="G55" s="72" t="s">
        <v>577</v>
      </c>
      <c r="H55" s="105"/>
      <c r="I55" s="105"/>
      <c r="J55" s="105"/>
      <c r="K55" s="105"/>
      <c r="L55" s="105"/>
    </row>
    <row r="56" spans="1:12" ht="15.5" x14ac:dyDescent="0.35">
      <c r="A56" s="66">
        <v>50</v>
      </c>
      <c r="B56" s="69" t="s">
        <v>173</v>
      </c>
      <c r="C56" s="70" t="s">
        <v>174</v>
      </c>
      <c r="D56" s="71" t="s">
        <v>175</v>
      </c>
      <c r="E56" s="66" t="s">
        <v>166</v>
      </c>
      <c r="F56" s="72" t="s">
        <v>577</v>
      </c>
      <c r="G56" s="72" t="s">
        <v>64</v>
      </c>
      <c r="H56" s="105"/>
      <c r="I56" s="105"/>
      <c r="J56" s="105"/>
      <c r="K56" s="105"/>
      <c r="L56" s="105"/>
    </row>
    <row r="57" spans="1:12" ht="31" x14ac:dyDescent="0.35">
      <c r="A57" s="66">
        <v>51</v>
      </c>
      <c r="B57" s="67" t="s">
        <v>38</v>
      </c>
      <c r="C57" s="70" t="s">
        <v>176</v>
      </c>
      <c r="D57" s="71" t="s">
        <v>177</v>
      </c>
      <c r="E57" s="66" t="s">
        <v>166</v>
      </c>
      <c r="F57" s="72" t="s">
        <v>64</v>
      </c>
      <c r="G57" s="72" t="s">
        <v>202</v>
      </c>
      <c r="H57" s="105"/>
      <c r="I57" s="105"/>
      <c r="J57" s="105"/>
      <c r="K57" s="105"/>
      <c r="L57" s="105"/>
    </row>
    <row r="58" spans="1:12" ht="31" x14ac:dyDescent="0.35">
      <c r="A58" s="66">
        <v>52</v>
      </c>
      <c r="B58" s="67" t="s">
        <v>163</v>
      </c>
      <c r="C58" s="70" t="s">
        <v>164</v>
      </c>
      <c r="D58" s="71" t="s">
        <v>165</v>
      </c>
      <c r="E58" s="66" t="s">
        <v>166</v>
      </c>
      <c r="F58" s="78" t="s">
        <v>378</v>
      </c>
      <c r="G58" s="78" t="s">
        <v>202</v>
      </c>
      <c r="H58" s="105"/>
      <c r="I58" s="105"/>
      <c r="J58" s="105"/>
      <c r="K58" s="105"/>
      <c r="L58" s="105"/>
    </row>
    <row r="59" spans="1:12" ht="31" x14ac:dyDescent="0.35">
      <c r="A59" s="66">
        <v>53</v>
      </c>
      <c r="B59" s="69" t="s">
        <v>184</v>
      </c>
      <c r="C59" s="76">
        <v>706050110</v>
      </c>
      <c r="D59" s="71" t="s">
        <v>185</v>
      </c>
      <c r="E59" s="66" t="s">
        <v>166</v>
      </c>
      <c r="F59" s="78" t="s">
        <v>202</v>
      </c>
      <c r="G59" s="78" t="s">
        <v>378</v>
      </c>
      <c r="H59" s="105"/>
      <c r="I59" s="105"/>
      <c r="J59" s="105"/>
      <c r="K59" s="105"/>
      <c r="L59" s="105"/>
    </row>
    <row r="60" spans="1:12" ht="31" x14ac:dyDescent="0.35">
      <c r="A60" s="66">
        <v>54</v>
      </c>
      <c r="B60" s="69" t="s">
        <v>186</v>
      </c>
      <c r="C60" s="79" t="s">
        <v>187</v>
      </c>
      <c r="D60" s="71" t="s">
        <v>188</v>
      </c>
      <c r="E60" s="66" t="s">
        <v>166</v>
      </c>
      <c r="F60" s="78" t="s">
        <v>378</v>
      </c>
      <c r="G60" s="78" t="s">
        <v>202</v>
      </c>
      <c r="H60" s="105"/>
      <c r="I60" s="105"/>
      <c r="J60" s="105"/>
      <c r="K60" s="105"/>
      <c r="L60" s="105"/>
    </row>
    <row r="61" spans="1:12" ht="31" x14ac:dyDescent="0.35">
      <c r="A61" s="66">
        <v>55</v>
      </c>
      <c r="B61" s="73" t="s">
        <v>234</v>
      </c>
      <c r="C61" s="79" t="s">
        <v>235</v>
      </c>
      <c r="D61" s="85" t="s">
        <v>236</v>
      </c>
      <c r="E61" s="66" t="s">
        <v>201</v>
      </c>
      <c r="F61" s="72" t="s">
        <v>139</v>
      </c>
      <c r="G61" s="72" t="s">
        <v>49</v>
      </c>
      <c r="H61" s="105"/>
      <c r="I61" s="105"/>
      <c r="J61" s="105"/>
      <c r="K61" s="105"/>
      <c r="L61" s="105"/>
    </row>
    <row r="62" spans="1:12" ht="31" x14ac:dyDescent="0.35">
      <c r="A62" s="66">
        <v>56</v>
      </c>
      <c r="B62" s="73" t="s">
        <v>237</v>
      </c>
      <c r="C62" s="79" t="s">
        <v>238</v>
      </c>
      <c r="D62" s="85" t="s">
        <v>239</v>
      </c>
      <c r="E62" s="66" t="s">
        <v>201</v>
      </c>
      <c r="F62" s="72" t="s">
        <v>74</v>
      </c>
      <c r="G62" s="72" t="s">
        <v>139</v>
      </c>
      <c r="H62" s="105"/>
      <c r="I62" s="105"/>
      <c r="J62" s="105"/>
      <c r="K62" s="105"/>
      <c r="L62" s="105"/>
    </row>
    <row r="63" spans="1:12" ht="31" x14ac:dyDescent="0.35">
      <c r="A63" s="66">
        <v>57</v>
      </c>
      <c r="B63" s="69" t="s">
        <v>198</v>
      </c>
      <c r="C63" s="70" t="s">
        <v>199</v>
      </c>
      <c r="D63" s="80" t="s">
        <v>200</v>
      </c>
      <c r="E63" s="66" t="s">
        <v>201</v>
      </c>
      <c r="F63" s="72" t="s">
        <v>540</v>
      </c>
      <c r="G63" s="72" t="s">
        <v>64</v>
      </c>
      <c r="H63" s="105"/>
      <c r="I63" s="105"/>
      <c r="J63" s="105"/>
      <c r="K63" s="105"/>
      <c r="L63" s="105"/>
    </row>
    <row r="64" spans="1:12" ht="31" x14ac:dyDescent="0.35">
      <c r="A64" s="66">
        <v>58</v>
      </c>
      <c r="B64" s="69" t="s">
        <v>202</v>
      </c>
      <c r="C64" s="70" t="s">
        <v>203</v>
      </c>
      <c r="D64" s="71" t="s">
        <v>204</v>
      </c>
      <c r="E64" s="66" t="s">
        <v>201</v>
      </c>
      <c r="F64" s="72" t="s">
        <v>163</v>
      </c>
      <c r="G64" s="72" t="s">
        <v>540</v>
      </c>
      <c r="H64" s="105"/>
      <c r="I64" s="105"/>
      <c r="J64" s="105"/>
      <c r="K64" s="105"/>
      <c r="L64" s="105"/>
    </row>
    <row r="65" spans="1:12" ht="31" x14ac:dyDescent="0.35">
      <c r="A65" s="66">
        <v>59</v>
      </c>
      <c r="B65" s="69" t="s">
        <v>207</v>
      </c>
      <c r="C65" s="76" t="s">
        <v>208</v>
      </c>
      <c r="D65" s="71" t="s">
        <v>209</v>
      </c>
      <c r="E65" s="66" t="s">
        <v>201</v>
      </c>
      <c r="F65" s="72" t="s">
        <v>540</v>
      </c>
      <c r="G65" s="72" t="s">
        <v>163</v>
      </c>
      <c r="H65" s="105"/>
      <c r="I65" s="105"/>
      <c r="J65" s="105"/>
      <c r="K65" s="105"/>
      <c r="L65" s="105"/>
    </row>
    <row r="66" spans="1:12" ht="31" x14ac:dyDescent="0.35">
      <c r="A66" s="66">
        <v>60</v>
      </c>
      <c r="B66" s="69" t="s">
        <v>210</v>
      </c>
      <c r="C66" s="70" t="s">
        <v>211</v>
      </c>
      <c r="D66" s="71" t="s">
        <v>212</v>
      </c>
      <c r="E66" s="66" t="s">
        <v>201</v>
      </c>
      <c r="F66" s="72" t="s">
        <v>163</v>
      </c>
      <c r="G66" s="72" t="s">
        <v>540</v>
      </c>
      <c r="H66" s="105"/>
      <c r="I66" s="105"/>
      <c r="J66" s="105"/>
      <c r="K66" s="105"/>
      <c r="L66" s="105"/>
    </row>
    <row r="67" spans="1:12" ht="31" x14ac:dyDescent="0.35">
      <c r="A67" s="66">
        <v>61</v>
      </c>
      <c r="B67" s="69" t="s">
        <v>216</v>
      </c>
      <c r="C67" s="70" t="s">
        <v>217</v>
      </c>
      <c r="D67" s="71" t="s">
        <v>218</v>
      </c>
      <c r="E67" s="66" t="s">
        <v>201</v>
      </c>
      <c r="F67" s="72" t="s">
        <v>540</v>
      </c>
      <c r="G67" s="72" t="s">
        <v>163</v>
      </c>
      <c r="H67" s="105"/>
      <c r="I67" s="105"/>
      <c r="J67" s="105"/>
      <c r="K67" s="105"/>
      <c r="L67" s="105"/>
    </row>
    <row r="68" spans="1:12" ht="31" x14ac:dyDescent="0.35">
      <c r="A68" s="66">
        <v>62</v>
      </c>
      <c r="B68" s="69" t="s">
        <v>219</v>
      </c>
      <c r="C68" s="70" t="s">
        <v>220</v>
      </c>
      <c r="D68" s="71" t="s">
        <v>221</v>
      </c>
      <c r="E68" s="66" t="s">
        <v>201</v>
      </c>
      <c r="F68" s="72" t="s">
        <v>163</v>
      </c>
      <c r="G68" s="72" t="s">
        <v>540</v>
      </c>
      <c r="H68" s="105"/>
      <c r="I68" s="105"/>
      <c r="J68" s="105"/>
      <c r="K68" s="105"/>
      <c r="L68" s="105"/>
    </row>
    <row r="69" spans="1:12" ht="31" x14ac:dyDescent="0.35">
      <c r="A69" s="66">
        <v>63</v>
      </c>
      <c r="B69" s="69" t="s">
        <v>231</v>
      </c>
      <c r="C69" s="79" t="s">
        <v>232</v>
      </c>
      <c r="D69" s="85" t="s">
        <v>233</v>
      </c>
      <c r="E69" s="66" t="s">
        <v>201</v>
      </c>
      <c r="F69" s="72" t="s">
        <v>540</v>
      </c>
      <c r="G69" s="72" t="s">
        <v>163</v>
      </c>
      <c r="H69" s="105"/>
      <c r="I69" s="105"/>
      <c r="J69" s="105"/>
      <c r="K69" s="105"/>
      <c r="L69" s="105"/>
    </row>
    <row r="70" spans="1:12" ht="31" x14ac:dyDescent="0.35">
      <c r="A70" s="66">
        <v>64</v>
      </c>
      <c r="B70" s="69" t="s">
        <v>24</v>
      </c>
      <c r="C70" s="76" t="s">
        <v>205</v>
      </c>
      <c r="D70" s="71" t="s">
        <v>206</v>
      </c>
      <c r="E70" s="66" t="s">
        <v>201</v>
      </c>
      <c r="F70" s="78" t="s">
        <v>329</v>
      </c>
      <c r="G70" s="78" t="s">
        <v>378</v>
      </c>
      <c r="H70" s="105"/>
      <c r="I70" s="105"/>
      <c r="J70" s="105"/>
      <c r="K70" s="105"/>
      <c r="L70" s="105"/>
    </row>
    <row r="71" spans="1:12" ht="31" x14ac:dyDescent="0.35">
      <c r="A71" s="66">
        <v>65</v>
      </c>
      <c r="B71" s="69" t="s">
        <v>222</v>
      </c>
      <c r="C71" s="70" t="s">
        <v>223</v>
      </c>
      <c r="D71" s="71" t="s">
        <v>224</v>
      </c>
      <c r="E71" s="66" t="s">
        <v>201</v>
      </c>
      <c r="F71" s="78" t="s">
        <v>540</v>
      </c>
      <c r="G71" s="78" t="s">
        <v>329</v>
      </c>
      <c r="H71" s="105"/>
      <c r="I71" s="105"/>
      <c r="J71" s="105"/>
      <c r="K71" s="105"/>
      <c r="L71" s="105"/>
    </row>
    <row r="72" spans="1:12" ht="31" x14ac:dyDescent="0.35">
      <c r="A72" s="66">
        <v>66</v>
      </c>
      <c r="B72" s="69" t="s">
        <v>566</v>
      </c>
      <c r="C72" s="70" t="s">
        <v>226</v>
      </c>
      <c r="D72" s="71" t="s">
        <v>227</v>
      </c>
      <c r="E72" s="66" t="s">
        <v>201</v>
      </c>
      <c r="F72" s="78" t="s">
        <v>329</v>
      </c>
      <c r="G72" s="78" t="s">
        <v>540</v>
      </c>
      <c r="H72" s="105"/>
      <c r="I72" s="105"/>
      <c r="J72" s="105"/>
      <c r="K72" s="105"/>
      <c r="L72" s="105"/>
    </row>
    <row r="73" spans="1:12" ht="31" x14ac:dyDescent="0.35">
      <c r="A73" s="66">
        <v>67</v>
      </c>
      <c r="B73" s="69" t="s">
        <v>228</v>
      </c>
      <c r="C73" s="79" t="s">
        <v>229</v>
      </c>
      <c r="D73" s="71" t="s">
        <v>230</v>
      </c>
      <c r="E73" s="66" t="s">
        <v>201</v>
      </c>
      <c r="F73" s="78" t="s">
        <v>540</v>
      </c>
      <c r="G73" s="78" t="s">
        <v>329</v>
      </c>
      <c r="H73" s="105"/>
      <c r="I73" s="105"/>
      <c r="J73" s="105"/>
      <c r="K73" s="105"/>
      <c r="L73" s="105"/>
    </row>
    <row r="74" spans="1:12" ht="31" x14ac:dyDescent="0.35">
      <c r="A74" s="66">
        <v>68</v>
      </c>
      <c r="B74" s="69" t="s">
        <v>213</v>
      </c>
      <c r="C74" s="76" t="s">
        <v>214</v>
      </c>
      <c r="D74" s="71" t="s">
        <v>215</v>
      </c>
      <c r="E74" s="66" t="s">
        <v>201</v>
      </c>
      <c r="F74" s="78" t="s">
        <v>26</v>
      </c>
      <c r="G74" s="78" t="s">
        <v>49</v>
      </c>
      <c r="H74" s="105"/>
      <c r="I74" s="105"/>
      <c r="J74" s="105"/>
      <c r="K74" s="105"/>
      <c r="L74" s="105"/>
    </row>
    <row r="75" spans="1:12" ht="31" x14ac:dyDescent="0.35">
      <c r="A75" s="66">
        <v>69</v>
      </c>
      <c r="B75" s="69" t="s">
        <v>240</v>
      </c>
      <c r="C75" s="76" t="s">
        <v>241</v>
      </c>
      <c r="D75" s="71" t="s">
        <v>242</v>
      </c>
      <c r="E75" s="66" t="s">
        <v>243</v>
      </c>
      <c r="F75" s="72" t="s">
        <v>139</v>
      </c>
      <c r="G75" s="72" t="s">
        <v>74</v>
      </c>
      <c r="H75" s="105"/>
      <c r="I75" s="105"/>
      <c r="J75" s="105"/>
      <c r="K75" s="105"/>
      <c r="L75" s="105"/>
    </row>
    <row r="76" spans="1:12" ht="31" x14ac:dyDescent="0.35">
      <c r="A76" s="66">
        <v>70</v>
      </c>
      <c r="B76" s="69" t="s">
        <v>262</v>
      </c>
      <c r="C76" s="86" t="s">
        <v>263</v>
      </c>
      <c r="D76" s="71" t="s">
        <v>264</v>
      </c>
      <c r="E76" s="66" t="s">
        <v>243</v>
      </c>
      <c r="F76" s="72" t="s">
        <v>74</v>
      </c>
      <c r="G76" s="72" t="s">
        <v>139</v>
      </c>
      <c r="H76" s="105"/>
      <c r="I76" s="105"/>
      <c r="J76" s="105"/>
      <c r="K76" s="105"/>
      <c r="L76" s="105"/>
    </row>
    <row r="77" spans="1:12" ht="31" x14ac:dyDescent="0.35">
      <c r="A77" s="66">
        <v>71</v>
      </c>
      <c r="B77" s="69" t="s">
        <v>267</v>
      </c>
      <c r="C77" s="86" t="s">
        <v>268</v>
      </c>
      <c r="D77" s="71" t="s">
        <v>269</v>
      </c>
      <c r="E77" s="66" t="s">
        <v>243</v>
      </c>
      <c r="F77" s="72" t="s">
        <v>139</v>
      </c>
      <c r="G77" s="72" t="s">
        <v>74</v>
      </c>
      <c r="H77" s="105"/>
      <c r="I77" s="105"/>
      <c r="J77" s="105"/>
      <c r="K77" s="105"/>
      <c r="L77" s="105"/>
    </row>
    <row r="78" spans="1:12" ht="31" x14ac:dyDescent="0.35">
      <c r="A78" s="66">
        <v>72</v>
      </c>
      <c r="B78" s="69" t="s">
        <v>270</v>
      </c>
      <c r="C78" s="87" t="s">
        <v>271</v>
      </c>
      <c r="D78" s="71" t="s">
        <v>272</v>
      </c>
      <c r="E78" s="66" t="s">
        <v>243</v>
      </c>
      <c r="F78" s="72" t="s">
        <v>74</v>
      </c>
      <c r="G78" s="72" t="s">
        <v>139</v>
      </c>
      <c r="H78" s="105"/>
      <c r="I78" s="105"/>
      <c r="J78" s="105"/>
      <c r="K78" s="105"/>
      <c r="L78" s="105"/>
    </row>
    <row r="79" spans="1:12" ht="31" x14ac:dyDescent="0.35">
      <c r="A79" s="66">
        <v>73</v>
      </c>
      <c r="B79" s="69" t="s">
        <v>273</v>
      </c>
      <c r="C79" s="86" t="s">
        <v>274</v>
      </c>
      <c r="D79" s="71" t="s">
        <v>275</v>
      </c>
      <c r="E79" s="66" t="s">
        <v>243</v>
      </c>
      <c r="F79" s="72" t="s">
        <v>139</v>
      </c>
      <c r="G79" s="72" t="s">
        <v>74</v>
      </c>
      <c r="H79" s="105"/>
      <c r="I79" s="105"/>
      <c r="J79" s="105"/>
      <c r="K79" s="105"/>
      <c r="L79" s="105"/>
    </row>
    <row r="80" spans="1:12" ht="31" x14ac:dyDescent="0.35">
      <c r="A80" s="66">
        <v>74</v>
      </c>
      <c r="B80" s="69" t="s">
        <v>276</v>
      </c>
      <c r="C80" s="87" t="s">
        <v>277</v>
      </c>
      <c r="D80" s="71" t="s">
        <v>278</v>
      </c>
      <c r="E80" s="66" t="s">
        <v>243</v>
      </c>
      <c r="F80" s="72" t="s">
        <v>74</v>
      </c>
      <c r="G80" s="72" t="s">
        <v>139</v>
      </c>
      <c r="H80" s="105"/>
      <c r="I80" s="105"/>
      <c r="J80" s="105"/>
      <c r="K80" s="105"/>
      <c r="L80" s="105"/>
    </row>
    <row r="81" spans="1:12" ht="31" x14ac:dyDescent="0.35">
      <c r="A81" s="66">
        <v>75</v>
      </c>
      <c r="B81" s="69" t="s">
        <v>282</v>
      </c>
      <c r="C81" s="79" t="s">
        <v>283</v>
      </c>
      <c r="D81" s="71" t="s">
        <v>284</v>
      </c>
      <c r="E81" s="66" t="s">
        <v>243</v>
      </c>
      <c r="F81" s="72" t="s">
        <v>139</v>
      </c>
      <c r="G81" s="72" t="s">
        <v>74</v>
      </c>
      <c r="H81" s="105"/>
      <c r="I81" s="105"/>
      <c r="J81" s="105"/>
      <c r="K81" s="105"/>
      <c r="L81" s="105"/>
    </row>
    <row r="82" spans="1:12" ht="31" x14ac:dyDescent="0.35">
      <c r="A82" s="66">
        <v>76</v>
      </c>
      <c r="B82" s="82" t="s">
        <v>285</v>
      </c>
      <c r="C82" s="83" t="s">
        <v>286</v>
      </c>
      <c r="D82" s="85" t="s">
        <v>287</v>
      </c>
      <c r="E82" s="66" t="s">
        <v>243</v>
      </c>
      <c r="F82" s="72" t="s">
        <v>74</v>
      </c>
      <c r="G82" s="72" t="s">
        <v>139</v>
      </c>
      <c r="H82" s="105"/>
      <c r="I82" s="105"/>
      <c r="J82" s="105"/>
      <c r="K82" s="105"/>
      <c r="L82" s="105"/>
    </row>
    <row r="83" spans="1:12" ht="31" x14ac:dyDescent="0.35">
      <c r="A83" s="66">
        <v>77</v>
      </c>
      <c r="B83" s="69" t="s">
        <v>244</v>
      </c>
      <c r="C83" s="76" t="s">
        <v>245</v>
      </c>
      <c r="D83" s="71" t="s">
        <v>246</v>
      </c>
      <c r="E83" s="66" t="s">
        <v>243</v>
      </c>
      <c r="F83" s="72" t="s">
        <v>163</v>
      </c>
      <c r="G83" s="72" t="s">
        <v>202</v>
      </c>
      <c r="H83" s="105"/>
      <c r="I83" s="105"/>
      <c r="J83" s="105"/>
      <c r="K83" s="105"/>
      <c r="L83" s="105"/>
    </row>
    <row r="84" spans="1:12" ht="31" x14ac:dyDescent="0.35">
      <c r="A84" s="66">
        <v>78</v>
      </c>
      <c r="B84" s="69" t="s">
        <v>253</v>
      </c>
      <c r="C84" s="87" t="s">
        <v>254</v>
      </c>
      <c r="D84" s="71" t="s">
        <v>255</v>
      </c>
      <c r="E84" s="66" t="s">
        <v>243</v>
      </c>
      <c r="F84" s="72" t="s">
        <v>202</v>
      </c>
      <c r="G84" s="72" t="s">
        <v>163</v>
      </c>
      <c r="H84" s="105"/>
      <c r="I84" s="105"/>
      <c r="J84" s="105"/>
      <c r="K84" s="105"/>
      <c r="L84" s="105"/>
    </row>
    <row r="85" spans="1:12" ht="31" x14ac:dyDescent="0.35">
      <c r="A85" s="66">
        <v>79</v>
      </c>
      <c r="B85" s="69" t="s">
        <v>256</v>
      </c>
      <c r="C85" s="76" t="s">
        <v>257</v>
      </c>
      <c r="D85" s="71" t="s">
        <v>258</v>
      </c>
      <c r="E85" s="66" t="s">
        <v>243</v>
      </c>
      <c r="F85" s="72" t="s">
        <v>163</v>
      </c>
      <c r="G85" s="72" t="s">
        <v>202</v>
      </c>
      <c r="H85" s="105"/>
      <c r="I85" s="105"/>
      <c r="J85" s="105"/>
      <c r="K85" s="105"/>
      <c r="L85" s="105"/>
    </row>
    <row r="86" spans="1:12" ht="31" x14ac:dyDescent="0.35">
      <c r="A86" s="66">
        <v>80</v>
      </c>
      <c r="B86" s="69" t="s">
        <v>279</v>
      </c>
      <c r="C86" s="79" t="s">
        <v>280</v>
      </c>
      <c r="D86" s="71" t="s">
        <v>281</v>
      </c>
      <c r="E86" s="66" t="s">
        <v>243</v>
      </c>
      <c r="F86" s="72" t="s">
        <v>64</v>
      </c>
      <c r="G86" s="72" t="s">
        <v>163</v>
      </c>
      <c r="H86" s="105"/>
      <c r="I86" s="105"/>
      <c r="J86" s="105"/>
      <c r="K86" s="105"/>
      <c r="L86" s="105"/>
    </row>
    <row r="87" spans="1:12" ht="31" x14ac:dyDescent="0.35">
      <c r="A87" s="66">
        <v>81</v>
      </c>
      <c r="B87" s="69" t="s">
        <v>247</v>
      </c>
      <c r="C87" s="70" t="s">
        <v>248</v>
      </c>
      <c r="D87" s="71" t="s">
        <v>249</v>
      </c>
      <c r="E87" s="66" t="s">
        <v>243</v>
      </c>
      <c r="F87" s="78" t="s">
        <v>202</v>
      </c>
      <c r="G87" s="78" t="s">
        <v>540</v>
      </c>
      <c r="H87" s="105"/>
      <c r="I87" s="105"/>
      <c r="J87" s="105"/>
      <c r="K87" s="105"/>
      <c r="L87" s="105"/>
    </row>
    <row r="88" spans="1:12" ht="31" x14ac:dyDescent="0.35">
      <c r="A88" s="66">
        <v>82</v>
      </c>
      <c r="B88" s="69" t="s">
        <v>250</v>
      </c>
      <c r="C88" s="76" t="s">
        <v>251</v>
      </c>
      <c r="D88" s="71" t="s">
        <v>252</v>
      </c>
      <c r="E88" s="66" t="s">
        <v>243</v>
      </c>
      <c r="F88" s="78" t="s">
        <v>540</v>
      </c>
      <c r="G88" s="78" t="s">
        <v>329</v>
      </c>
      <c r="H88" s="105"/>
      <c r="I88" s="105"/>
      <c r="J88" s="105"/>
      <c r="K88" s="105"/>
      <c r="L88" s="105"/>
    </row>
    <row r="89" spans="1:12" ht="31" x14ac:dyDescent="0.35">
      <c r="A89" s="66">
        <v>83</v>
      </c>
      <c r="B89" s="69" t="s">
        <v>259</v>
      </c>
      <c r="C89" s="76" t="s">
        <v>260</v>
      </c>
      <c r="D89" s="71" t="s">
        <v>261</v>
      </c>
      <c r="E89" s="66" t="s">
        <v>243</v>
      </c>
      <c r="F89" s="78" t="s">
        <v>329</v>
      </c>
      <c r="G89" s="78" t="s">
        <v>540</v>
      </c>
      <c r="H89" s="105"/>
      <c r="I89" s="105"/>
      <c r="J89" s="105"/>
      <c r="K89" s="105"/>
      <c r="L89" s="105"/>
    </row>
    <row r="90" spans="1:12" ht="31" x14ac:dyDescent="0.35">
      <c r="A90" s="66">
        <v>84</v>
      </c>
      <c r="B90" s="69" t="s">
        <v>25</v>
      </c>
      <c r="C90" s="87" t="s">
        <v>265</v>
      </c>
      <c r="D90" s="71" t="s">
        <v>266</v>
      </c>
      <c r="E90" s="66" t="s">
        <v>243</v>
      </c>
      <c r="F90" s="78" t="s">
        <v>540</v>
      </c>
      <c r="G90" s="78" t="s">
        <v>329</v>
      </c>
      <c r="H90" s="105"/>
      <c r="I90" s="105"/>
      <c r="J90" s="105"/>
      <c r="K90" s="105"/>
      <c r="L90" s="105"/>
    </row>
    <row r="91" spans="1:12" ht="31" x14ac:dyDescent="0.35">
      <c r="A91" s="66">
        <v>85</v>
      </c>
      <c r="B91" s="69" t="s">
        <v>288</v>
      </c>
      <c r="C91" s="70" t="s">
        <v>289</v>
      </c>
      <c r="D91" s="71" t="s">
        <v>290</v>
      </c>
      <c r="E91" s="66" t="s">
        <v>291</v>
      </c>
      <c r="F91" s="72" t="s">
        <v>139</v>
      </c>
      <c r="G91" s="72" t="s">
        <v>74</v>
      </c>
      <c r="H91" s="105"/>
      <c r="I91" s="105"/>
      <c r="J91" s="105"/>
      <c r="K91" s="105"/>
      <c r="L91" s="105"/>
    </row>
    <row r="92" spans="1:12" ht="31" x14ac:dyDescent="0.35">
      <c r="A92" s="66">
        <v>86</v>
      </c>
      <c r="B92" s="69" t="s">
        <v>307</v>
      </c>
      <c r="C92" s="76" t="s">
        <v>308</v>
      </c>
      <c r="D92" s="71" t="s">
        <v>309</v>
      </c>
      <c r="E92" s="66" t="s">
        <v>291</v>
      </c>
      <c r="F92" s="72" t="s">
        <v>74</v>
      </c>
      <c r="G92" s="72" t="s">
        <v>139</v>
      </c>
      <c r="H92" s="105"/>
      <c r="I92" s="105"/>
      <c r="J92" s="105"/>
      <c r="K92" s="105"/>
      <c r="L92" s="105"/>
    </row>
    <row r="93" spans="1:12" ht="31" x14ac:dyDescent="0.35">
      <c r="A93" s="66">
        <v>87</v>
      </c>
      <c r="B93" s="69" t="s">
        <v>313</v>
      </c>
      <c r="C93" s="70" t="s">
        <v>314</v>
      </c>
      <c r="D93" s="71" t="s">
        <v>315</v>
      </c>
      <c r="E93" s="66" t="s">
        <v>291</v>
      </c>
      <c r="F93" s="72" t="s">
        <v>139</v>
      </c>
      <c r="G93" s="72" t="s">
        <v>74</v>
      </c>
      <c r="H93" s="105"/>
      <c r="I93" s="105"/>
      <c r="J93" s="105"/>
      <c r="K93" s="105"/>
      <c r="L93" s="105"/>
    </row>
    <row r="94" spans="1:12" ht="31" x14ac:dyDescent="0.35">
      <c r="A94" s="66">
        <v>88</v>
      </c>
      <c r="B94" s="69" t="s">
        <v>316</v>
      </c>
      <c r="C94" s="70" t="s">
        <v>317</v>
      </c>
      <c r="D94" s="71" t="s">
        <v>318</v>
      </c>
      <c r="E94" s="66" t="s">
        <v>291</v>
      </c>
      <c r="F94" s="72" t="s">
        <v>74</v>
      </c>
      <c r="G94" s="72" t="s">
        <v>139</v>
      </c>
      <c r="H94" s="105"/>
      <c r="I94" s="105"/>
      <c r="J94" s="105"/>
      <c r="K94" s="105"/>
      <c r="L94" s="105"/>
    </row>
    <row r="95" spans="1:12" ht="31" x14ac:dyDescent="0.35">
      <c r="A95" s="66">
        <v>89</v>
      </c>
      <c r="B95" s="69" t="s">
        <v>323</v>
      </c>
      <c r="C95" s="76" t="s">
        <v>324</v>
      </c>
      <c r="D95" s="71" t="s">
        <v>325</v>
      </c>
      <c r="E95" s="66" t="s">
        <v>291</v>
      </c>
      <c r="F95" s="72" t="s">
        <v>139</v>
      </c>
      <c r="G95" s="72" t="s">
        <v>74</v>
      </c>
      <c r="H95" s="105"/>
      <c r="I95" s="105"/>
      <c r="J95" s="105"/>
      <c r="K95" s="105"/>
      <c r="L95" s="105"/>
    </row>
    <row r="96" spans="1:12" ht="31" x14ac:dyDescent="0.35">
      <c r="A96" s="66">
        <v>90</v>
      </c>
      <c r="B96" s="69" t="s">
        <v>326</v>
      </c>
      <c r="C96" s="76" t="s">
        <v>327</v>
      </c>
      <c r="D96" s="71" t="s">
        <v>328</v>
      </c>
      <c r="E96" s="66" t="s">
        <v>291</v>
      </c>
      <c r="F96" s="72" t="s">
        <v>74</v>
      </c>
      <c r="G96" s="72" t="s">
        <v>139</v>
      </c>
      <c r="H96" s="105"/>
      <c r="I96" s="105"/>
      <c r="J96" s="105"/>
      <c r="K96" s="105"/>
      <c r="L96" s="105"/>
    </row>
    <row r="97" spans="1:12" ht="31" x14ac:dyDescent="0.35">
      <c r="A97" s="66">
        <v>91</v>
      </c>
      <c r="B97" s="69" t="s">
        <v>335</v>
      </c>
      <c r="C97" s="79" t="s">
        <v>336</v>
      </c>
      <c r="D97" s="71" t="s">
        <v>337</v>
      </c>
      <c r="E97" s="66" t="s">
        <v>291</v>
      </c>
      <c r="F97" s="72" t="s">
        <v>139</v>
      </c>
      <c r="G97" s="72" t="s">
        <v>74</v>
      </c>
      <c r="H97" s="105"/>
      <c r="I97" s="105"/>
      <c r="J97" s="105"/>
      <c r="K97" s="105"/>
      <c r="L97" s="105"/>
    </row>
    <row r="98" spans="1:12" ht="31" x14ac:dyDescent="0.35">
      <c r="A98" s="66">
        <v>92</v>
      </c>
      <c r="B98" s="69" t="s">
        <v>338</v>
      </c>
      <c r="C98" s="86" t="s">
        <v>339</v>
      </c>
      <c r="D98" s="71" t="s">
        <v>340</v>
      </c>
      <c r="E98" s="66" t="s">
        <v>291</v>
      </c>
      <c r="F98" s="72" t="s">
        <v>74</v>
      </c>
      <c r="G98" s="72" t="s">
        <v>139</v>
      </c>
      <c r="H98" s="105"/>
      <c r="I98" s="105"/>
      <c r="J98" s="105"/>
      <c r="K98" s="105"/>
      <c r="L98" s="105"/>
    </row>
    <row r="99" spans="1:12" ht="31" x14ac:dyDescent="0.35">
      <c r="A99" s="66">
        <v>93</v>
      </c>
      <c r="B99" s="69" t="s">
        <v>292</v>
      </c>
      <c r="C99" s="70" t="s">
        <v>293</v>
      </c>
      <c r="D99" s="71" t="s">
        <v>294</v>
      </c>
      <c r="E99" s="66" t="s">
        <v>291</v>
      </c>
      <c r="F99" s="72" t="s">
        <v>163</v>
      </c>
      <c r="G99" s="72" t="s">
        <v>64</v>
      </c>
      <c r="H99" s="105"/>
      <c r="I99" s="105"/>
      <c r="J99" s="105"/>
      <c r="K99" s="105"/>
      <c r="L99" s="105"/>
    </row>
    <row r="100" spans="1:12" ht="31" x14ac:dyDescent="0.35">
      <c r="A100" s="66">
        <v>94</v>
      </c>
      <c r="B100" s="69" t="s">
        <v>295</v>
      </c>
      <c r="C100" s="76" t="s">
        <v>296</v>
      </c>
      <c r="D100" s="71" t="s">
        <v>297</v>
      </c>
      <c r="E100" s="66" t="s">
        <v>291</v>
      </c>
      <c r="F100" s="72" t="s">
        <v>64</v>
      </c>
      <c r="G100" s="72" t="s">
        <v>163</v>
      </c>
      <c r="H100" s="105"/>
      <c r="I100" s="105"/>
      <c r="J100" s="105"/>
      <c r="K100" s="105"/>
      <c r="L100" s="105"/>
    </row>
    <row r="101" spans="1:12" ht="15.5" x14ac:dyDescent="0.35">
      <c r="A101" s="66">
        <v>95</v>
      </c>
      <c r="B101" s="69" t="s">
        <v>301</v>
      </c>
      <c r="C101" s="70" t="s">
        <v>302</v>
      </c>
      <c r="D101" s="71" t="s">
        <v>303</v>
      </c>
      <c r="E101" s="66" t="s">
        <v>291</v>
      </c>
      <c r="F101" s="72" t="s">
        <v>540</v>
      </c>
      <c r="G101" s="72" t="s">
        <v>64</v>
      </c>
      <c r="H101" s="105"/>
      <c r="I101" s="105"/>
      <c r="J101" s="105"/>
      <c r="K101" s="105"/>
      <c r="L101" s="105"/>
    </row>
    <row r="102" spans="1:12" ht="15.5" x14ac:dyDescent="0.35">
      <c r="A102" s="66">
        <v>96</v>
      </c>
      <c r="B102" s="69" t="s">
        <v>319</v>
      </c>
      <c r="C102" s="70" t="s">
        <v>320</v>
      </c>
      <c r="D102" s="71" t="s">
        <v>321</v>
      </c>
      <c r="E102" s="66" t="s">
        <v>291</v>
      </c>
      <c r="F102" s="72" t="s">
        <v>64</v>
      </c>
      <c r="G102" s="72" t="s">
        <v>577</v>
      </c>
      <c r="H102" s="105"/>
      <c r="I102" s="105"/>
      <c r="J102" s="105"/>
      <c r="K102" s="105"/>
      <c r="L102" s="105"/>
    </row>
    <row r="103" spans="1:12" ht="31" x14ac:dyDescent="0.35">
      <c r="A103" s="66">
        <v>97</v>
      </c>
      <c r="B103" s="69" t="s">
        <v>344</v>
      </c>
      <c r="C103" s="76" t="s">
        <v>345</v>
      </c>
      <c r="D103" s="71" t="s">
        <v>346</v>
      </c>
      <c r="E103" s="66" t="s">
        <v>291</v>
      </c>
      <c r="F103" s="72" t="s">
        <v>329</v>
      </c>
      <c r="G103" s="72" t="s">
        <v>64</v>
      </c>
      <c r="H103" s="105"/>
      <c r="I103" s="105"/>
      <c r="J103" s="105"/>
      <c r="K103" s="105"/>
      <c r="L103" s="105"/>
    </row>
    <row r="104" spans="1:12" ht="31" x14ac:dyDescent="0.35">
      <c r="A104" s="66">
        <v>98</v>
      </c>
      <c r="B104" s="67" t="s">
        <v>347</v>
      </c>
      <c r="C104" s="86" t="s">
        <v>348</v>
      </c>
      <c r="D104" s="71" t="s">
        <v>349</v>
      </c>
      <c r="E104" s="66" t="s">
        <v>291</v>
      </c>
      <c r="F104" s="72" t="s">
        <v>163</v>
      </c>
      <c r="G104" s="72" t="s">
        <v>64</v>
      </c>
      <c r="H104" s="105"/>
      <c r="I104" s="105"/>
      <c r="J104" s="105"/>
      <c r="K104" s="105"/>
      <c r="L104" s="105"/>
    </row>
    <row r="105" spans="1:12" ht="15.5" x14ac:dyDescent="0.35">
      <c r="A105" s="66">
        <v>99</v>
      </c>
      <c r="B105" s="69" t="s">
        <v>298</v>
      </c>
      <c r="C105" s="86" t="s">
        <v>299</v>
      </c>
      <c r="D105" s="71" t="s">
        <v>300</v>
      </c>
      <c r="E105" s="66" t="s">
        <v>291</v>
      </c>
      <c r="F105" s="78" t="s">
        <v>577</v>
      </c>
      <c r="G105" s="78" t="s">
        <v>540</v>
      </c>
      <c r="H105" s="105"/>
      <c r="I105" s="105"/>
      <c r="J105" s="105"/>
      <c r="K105" s="105"/>
      <c r="L105" s="105"/>
    </row>
    <row r="106" spans="1:12" ht="15.5" x14ac:dyDescent="0.35">
      <c r="A106" s="66">
        <v>100</v>
      </c>
      <c r="B106" s="69" t="s">
        <v>304</v>
      </c>
      <c r="C106" s="76" t="s">
        <v>305</v>
      </c>
      <c r="D106" s="71" t="s">
        <v>306</v>
      </c>
      <c r="E106" s="66" t="s">
        <v>291</v>
      </c>
      <c r="F106" s="78" t="s">
        <v>540</v>
      </c>
      <c r="G106" s="78" t="s">
        <v>577</v>
      </c>
      <c r="H106" s="105"/>
      <c r="I106" s="105"/>
      <c r="J106" s="105"/>
      <c r="K106" s="105"/>
      <c r="L106" s="105"/>
    </row>
    <row r="107" spans="1:12" ht="31" x14ac:dyDescent="0.35">
      <c r="A107" s="66">
        <v>101</v>
      </c>
      <c r="B107" s="69" t="s">
        <v>310</v>
      </c>
      <c r="C107" s="76" t="s">
        <v>311</v>
      </c>
      <c r="D107" s="71" t="s">
        <v>312</v>
      </c>
      <c r="E107" s="66" t="s">
        <v>291</v>
      </c>
      <c r="F107" s="72" t="s">
        <v>577</v>
      </c>
      <c r="G107" s="69" t="s">
        <v>26</v>
      </c>
      <c r="H107" s="105"/>
      <c r="I107" s="105"/>
      <c r="J107" s="105"/>
      <c r="K107" s="105"/>
      <c r="L107" s="105"/>
    </row>
    <row r="108" spans="1:12" ht="31" x14ac:dyDescent="0.35">
      <c r="A108" s="66">
        <v>102</v>
      </c>
      <c r="B108" s="69" t="s">
        <v>329</v>
      </c>
      <c r="C108" s="76" t="s">
        <v>330</v>
      </c>
      <c r="D108" s="71" t="s">
        <v>331</v>
      </c>
      <c r="E108" s="66" t="s">
        <v>291</v>
      </c>
      <c r="F108" s="69" t="s">
        <v>49</v>
      </c>
      <c r="G108" s="72" t="s">
        <v>577</v>
      </c>
      <c r="H108" s="105"/>
      <c r="I108" s="105"/>
      <c r="J108" s="105"/>
      <c r="K108" s="105"/>
      <c r="L108" s="105"/>
    </row>
    <row r="109" spans="1:12" ht="31" x14ac:dyDescent="0.35">
      <c r="A109" s="66">
        <v>103</v>
      </c>
      <c r="B109" s="69" t="s">
        <v>587</v>
      </c>
      <c r="C109" s="70" t="s">
        <v>333</v>
      </c>
      <c r="D109" s="71" t="s">
        <v>334</v>
      </c>
      <c r="E109" s="66" t="s">
        <v>291</v>
      </c>
      <c r="F109" s="78" t="s">
        <v>49</v>
      </c>
      <c r="G109" s="78" t="s">
        <v>26</v>
      </c>
      <c r="H109" s="105"/>
      <c r="I109" s="105"/>
      <c r="J109" s="105"/>
      <c r="K109" s="105"/>
      <c r="L109" s="105"/>
    </row>
    <row r="110" spans="1:12" ht="31" x14ac:dyDescent="0.35">
      <c r="A110" s="66">
        <v>104</v>
      </c>
      <c r="B110" s="69" t="s">
        <v>341</v>
      </c>
      <c r="C110" s="79" t="s">
        <v>342</v>
      </c>
      <c r="D110" s="71" t="s">
        <v>343</v>
      </c>
      <c r="E110" s="66" t="s">
        <v>291</v>
      </c>
      <c r="F110" s="78" t="s">
        <v>26</v>
      </c>
      <c r="G110" s="78" t="s">
        <v>49</v>
      </c>
      <c r="H110" s="105"/>
      <c r="I110" s="105"/>
      <c r="J110" s="105"/>
      <c r="K110" s="105"/>
      <c r="L110" s="105"/>
    </row>
    <row r="111" spans="1:12" ht="31" x14ac:dyDescent="0.35">
      <c r="A111" s="66">
        <v>105</v>
      </c>
      <c r="B111" s="81" t="s">
        <v>369</v>
      </c>
      <c r="C111" s="76" t="s">
        <v>370</v>
      </c>
      <c r="D111" s="71" t="s">
        <v>371</v>
      </c>
      <c r="E111" s="66" t="s">
        <v>353</v>
      </c>
      <c r="F111" s="72" t="s">
        <v>139</v>
      </c>
      <c r="G111" s="72" t="s">
        <v>74</v>
      </c>
      <c r="H111" s="105"/>
      <c r="I111" s="105"/>
      <c r="J111" s="105"/>
      <c r="K111" s="105"/>
      <c r="L111" s="105"/>
    </row>
    <row r="112" spans="1:12" ht="31" x14ac:dyDescent="0.35">
      <c r="A112" s="66">
        <v>106</v>
      </c>
      <c r="B112" s="88" t="s">
        <v>381</v>
      </c>
      <c r="C112" s="79" t="s">
        <v>382</v>
      </c>
      <c r="D112" s="85" t="s">
        <v>383</v>
      </c>
      <c r="E112" s="66" t="s">
        <v>353</v>
      </c>
      <c r="F112" s="72" t="s">
        <v>74</v>
      </c>
      <c r="G112" s="72" t="s">
        <v>139</v>
      </c>
      <c r="H112" s="105"/>
      <c r="I112" s="105"/>
      <c r="J112" s="105"/>
      <c r="K112" s="105"/>
      <c r="L112" s="105"/>
    </row>
    <row r="113" spans="1:12" ht="31" x14ac:dyDescent="0.35">
      <c r="A113" s="66">
        <v>107</v>
      </c>
      <c r="B113" s="81" t="s">
        <v>350</v>
      </c>
      <c r="C113" s="76" t="s">
        <v>351</v>
      </c>
      <c r="D113" s="71" t="s">
        <v>352</v>
      </c>
      <c r="E113" s="66" t="s">
        <v>353</v>
      </c>
      <c r="F113" s="72" t="s">
        <v>329</v>
      </c>
      <c r="G113" s="72" t="s">
        <v>163</v>
      </c>
      <c r="H113" s="105"/>
      <c r="I113" s="105"/>
      <c r="J113" s="105"/>
      <c r="K113" s="105"/>
      <c r="L113" s="105"/>
    </row>
    <row r="114" spans="1:12" ht="31" x14ac:dyDescent="0.35">
      <c r="A114" s="66">
        <v>108</v>
      </c>
      <c r="B114" s="81" t="s">
        <v>360</v>
      </c>
      <c r="C114" s="76" t="s">
        <v>361</v>
      </c>
      <c r="D114" s="71" t="s">
        <v>362</v>
      </c>
      <c r="E114" s="66" t="s">
        <v>353</v>
      </c>
      <c r="F114" s="72" t="s">
        <v>163</v>
      </c>
      <c r="G114" s="72" t="s">
        <v>329</v>
      </c>
      <c r="H114" s="105"/>
      <c r="I114" s="105"/>
      <c r="J114" s="105"/>
      <c r="K114" s="105"/>
      <c r="L114" s="105"/>
    </row>
    <row r="115" spans="1:12" ht="31" x14ac:dyDescent="0.35">
      <c r="A115" s="66">
        <v>109</v>
      </c>
      <c r="B115" s="82" t="s">
        <v>372</v>
      </c>
      <c r="C115" s="76" t="s">
        <v>373</v>
      </c>
      <c r="D115" s="71" t="s">
        <v>374</v>
      </c>
      <c r="E115" s="66" t="s">
        <v>353</v>
      </c>
      <c r="F115" s="72" t="s">
        <v>329</v>
      </c>
      <c r="G115" s="72" t="s">
        <v>163</v>
      </c>
      <c r="H115" s="105"/>
      <c r="I115" s="105"/>
      <c r="J115" s="105"/>
      <c r="K115" s="105"/>
      <c r="L115" s="105"/>
    </row>
    <row r="116" spans="1:12" ht="31" x14ac:dyDescent="0.35">
      <c r="A116" s="66">
        <v>110</v>
      </c>
      <c r="B116" s="81" t="s">
        <v>375</v>
      </c>
      <c r="C116" s="83" t="s">
        <v>376</v>
      </c>
      <c r="D116" s="71" t="s">
        <v>377</v>
      </c>
      <c r="E116" s="66" t="s">
        <v>353</v>
      </c>
      <c r="F116" s="72" t="s">
        <v>163</v>
      </c>
      <c r="G116" s="72" t="s">
        <v>329</v>
      </c>
      <c r="H116" s="105"/>
      <c r="I116" s="105"/>
      <c r="J116" s="105"/>
      <c r="K116" s="105"/>
      <c r="L116" s="105"/>
    </row>
    <row r="117" spans="1:12" ht="31" x14ac:dyDescent="0.35">
      <c r="A117" s="66">
        <v>111</v>
      </c>
      <c r="B117" s="81" t="s">
        <v>357</v>
      </c>
      <c r="C117" s="70" t="s">
        <v>358</v>
      </c>
      <c r="D117" s="71" t="s">
        <v>359</v>
      </c>
      <c r="E117" s="66" t="s">
        <v>353</v>
      </c>
      <c r="F117" s="72" t="s">
        <v>329</v>
      </c>
      <c r="G117" s="72" t="s">
        <v>163</v>
      </c>
      <c r="H117" s="105"/>
      <c r="I117" s="105"/>
      <c r="J117" s="105"/>
      <c r="K117" s="105"/>
      <c r="L117" s="105"/>
    </row>
    <row r="118" spans="1:12" ht="31" x14ac:dyDescent="0.35">
      <c r="A118" s="66">
        <v>112</v>
      </c>
      <c r="B118" s="81" t="s">
        <v>363</v>
      </c>
      <c r="C118" s="70" t="s">
        <v>364</v>
      </c>
      <c r="D118" s="71" t="s">
        <v>365</v>
      </c>
      <c r="E118" s="66" t="s">
        <v>353</v>
      </c>
      <c r="F118" s="72" t="s">
        <v>163</v>
      </c>
      <c r="G118" s="72" t="s">
        <v>329</v>
      </c>
      <c r="H118" s="105"/>
      <c r="I118" s="105"/>
      <c r="J118" s="105"/>
      <c r="K118" s="105"/>
      <c r="L118" s="105"/>
    </row>
    <row r="119" spans="1:12" ht="31" x14ac:dyDescent="0.35">
      <c r="A119" s="66">
        <v>113</v>
      </c>
      <c r="B119" s="81" t="s">
        <v>378</v>
      </c>
      <c r="C119" s="79" t="s">
        <v>379</v>
      </c>
      <c r="D119" s="71" t="s">
        <v>365</v>
      </c>
      <c r="E119" s="66" t="s">
        <v>353</v>
      </c>
      <c r="F119" s="72" t="s">
        <v>577</v>
      </c>
      <c r="G119" s="72" t="s">
        <v>163</v>
      </c>
      <c r="H119" s="105"/>
      <c r="I119" s="105"/>
      <c r="J119" s="105"/>
      <c r="K119" s="105"/>
      <c r="L119" s="105"/>
    </row>
    <row r="120" spans="1:12" ht="31" x14ac:dyDescent="0.35">
      <c r="A120" s="66">
        <v>114</v>
      </c>
      <c r="B120" s="81" t="s">
        <v>354</v>
      </c>
      <c r="C120" s="70" t="s">
        <v>355</v>
      </c>
      <c r="D120" s="71" t="s">
        <v>356</v>
      </c>
      <c r="E120" s="66" t="s">
        <v>353</v>
      </c>
      <c r="F120" s="78" t="s">
        <v>49</v>
      </c>
      <c r="G120" s="78" t="s">
        <v>26</v>
      </c>
      <c r="H120" s="105"/>
      <c r="I120" s="105"/>
      <c r="J120" s="105"/>
      <c r="K120" s="105"/>
      <c r="L120" s="105"/>
    </row>
    <row r="121" spans="1:12" ht="31" x14ac:dyDescent="0.35">
      <c r="A121" s="66">
        <v>115</v>
      </c>
      <c r="B121" s="81" t="s">
        <v>384</v>
      </c>
      <c r="C121" s="76" t="s">
        <v>385</v>
      </c>
      <c r="D121" s="71" t="s">
        <v>386</v>
      </c>
      <c r="E121" s="66" t="s">
        <v>387</v>
      </c>
      <c r="F121" s="72" t="s">
        <v>139</v>
      </c>
      <c r="G121" s="72" t="s">
        <v>74</v>
      </c>
      <c r="H121" s="105"/>
      <c r="I121" s="105"/>
      <c r="J121" s="105"/>
      <c r="K121" s="105"/>
      <c r="L121" s="105"/>
    </row>
    <row r="122" spans="1:12" ht="31" x14ac:dyDescent="0.35">
      <c r="A122" s="66">
        <v>116</v>
      </c>
      <c r="B122" s="81" t="s">
        <v>388</v>
      </c>
      <c r="C122" s="70" t="s">
        <v>389</v>
      </c>
      <c r="D122" s="71" t="s">
        <v>390</v>
      </c>
      <c r="E122" s="66" t="s">
        <v>387</v>
      </c>
      <c r="F122" s="72" t="s">
        <v>74</v>
      </c>
      <c r="G122" s="72" t="s">
        <v>139</v>
      </c>
      <c r="H122" s="105"/>
      <c r="I122" s="105"/>
      <c r="J122" s="105"/>
      <c r="K122" s="105"/>
      <c r="L122" s="105"/>
    </row>
    <row r="123" spans="1:12" ht="31" x14ac:dyDescent="0.35">
      <c r="A123" s="66">
        <v>117</v>
      </c>
      <c r="B123" s="81" t="s">
        <v>397</v>
      </c>
      <c r="C123" s="70" t="s">
        <v>398</v>
      </c>
      <c r="D123" s="71" t="s">
        <v>399</v>
      </c>
      <c r="E123" s="66" t="s">
        <v>387</v>
      </c>
      <c r="F123" s="72" t="s">
        <v>570</v>
      </c>
      <c r="G123" s="72" t="s">
        <v>74</v>
      </c>
      <c r="H123" s="105"/>
      <c r="I123" s="105"/>
      <c r="J123" s="105"/>
      <c r="K123" s="105"/>
      <c r="L123" s="105"/>
    </row>
    <row r="124" spans="1:12" ht="31" x14ac:dyDescent="0.35">
      <c r="A124" s="66">
        <v>118</v>
      </c>
      <c r="B124" s="81" t="s">
        <v>406</v>
      </c>
      <c r="C124" s="89" t="s">
        <v>407</v>
      </c>
      <c r="D124" s="71" t="s">
        <v>408</v>
      </c>
      <c r="E124" s="66" t="s">
        <v>387</v>
      </c>
      <c r="F124" s="72" t="s">
        <v>74</v>
      </c>
      <c r="G124" s="72" t="s">
        <v>570</v>
      </c>
      <c r="H124" s="105"/>
      <c r="I124" s="105"/>
      <c r="J124" s="105"/>
      <c r="K124" s="105"/>
      <c r="L124" s="105"/>
    </row>
    <row r="125" spans="1:12" ht="31" x14ac:dyDescent="0.35">
      <c r="A125" s="66">
        <v>119</v>
      </c>
      <c r="B125" s="81" t="s">
        <v>409</v>
      </c>
      <c r="C125" s="76" t="s">
        <v>410</v>
      </c>
      <c r="D125" s="71" t="s">
        <v>411</v>
      </c>
      <c r="E125" s="66" t="s">
        <v>387</v>
      </c>
      <c r="F125" s="72" t="s">
        <v>572</v>
      </c>
      <c r="G125" s="72" t="s">
        <v>74</v>
      </c>
      <c r="H125" s="105"/>
      <c r="I125" s="105"/>
      <c r="J125" s="105"/>
      <c r="K125" s="105"/>
      <c r="L125" s="105"/>
    </row>
    <row r="126" spans="1:12" ht="31" x14ac:dyDescent="0.35">
      <c r="A126" s="66">
        <v>120</v>
      </c>
      <c r="B126" s="82" t="s">
        <v>391</v>
      </c>
      <c r="C126" s="76" t="s">
        <v>392</v>
      </c>
      <c r="D126" s="71" t="s">
        <v>393</v>
      </c>
      <c r="E126" s="66" t="s">
        <v>387</v>
      </c>
      <c r="F126" s="72" t="s">
        <v>329</v>
      </c>
      <c r="G126" s="72" t="s">
        <v>378</v>
      </c>
      <c r="H126" s="105"/>
      <c r="I126" s="105"/>
      <c r="J126" s="105"/>
      <c r="K126" s="105"/>
      <c r="L126" s="105"/>
    </row>
    <row r="127" spans="1:12" ht="31" x14ac:dyDescent="0.35">
      <c r="A127" s="66">
        <v>121</v>
      </c>
      <c r="B127" s="81" t="s">
        <v>403</v>
      </c>
      <c r="C127" s="70" t="s">
        <v>404</v>
      </c>
      <c r="D127" s="71" t="s">
        <v>405</v>
      </c>
      <c r="E127" s="66" t="s">
        <v>387</v>
      </c>
      <c r="F127" s="72" t="s">
        <v>163</v>
      </c>
      <c r="G127" s="72" t="s">
        <v>329</v>
      </c>
      <c r="H127" s="105"/>
      <c r="I127" s="105"/>
      <c r="J127" s="105"/>
      <c r="K127" s="105"/>
      <c r="L127" s="105"/>
    </row>
    <row r="128" spans="1:12" ht="31" x14ac:dyDescent="0.35">
      <c r="A128" s="66">
        <v>122</v>
      </c>
      <c r="B128" s="67" t="s">
        <v>394</v>
      </c>
      <c r="C128" s="70" t="s">
        <v>395</v>
      </c>
      <c r="D128" s="71" t="s">
        <v>396</v>
      </c>
      <c r="E128" s="66" t="s">
        <v>387</v>
      </c>
      <c r="F128" s="72" t="s">
        <v>163</v>
      </c>
      <c r="G128" s="72" t="s">
        <v>577</v>
      </c>
      <c r="H128" s="105"/>
      <c r="I128" s="105"/>
      <c r="J128" s="105"/>
      <c r="K128" s="105"/>
      <c r="L128" s="105"/>
    </row>
    <row r="129" spans="1:12" ht="31" x14ac:dyDescent="0.35">
      <c r="A129" s="66">
        <v>123</v>
      </c>
      <c r="B129" s="81" t="s">
        <v>400</v>
      </c>
      <c r="C129" s="70" t="s">
        <v>401</v>
      </c>
      <c r="D129" s="71" t="s">
        <v>402</v>
      </c>
      <c r="E129" s="66" t="s">
        <v>387</v>
      </c>
      <c r="F129" s="78" t="s">
        <v>26</v>
      </c>
      <c r="G129" s="78" t="s">
        <v>49</v>
      </c>
      <c r="H129" s="105"/>
      <c r="I129" s="105"/>
      <c r="J129" s="105"/>
      <c r="K129" s="105"/>
      <c r="L129" s="105"/>
    </row>
    <row r="130" spans="1:12" ht="31" x14ac:dyDescent="0.35">
      <c r="A130" s="66">
        <v>124</v>
      </c>
      <c r="B130" s="81" t="s">
        <v>412</v>
      </c>
      <c r="C130" s="86" t="s">
        <v>413</v>
      </c>
      <c r="D130" s="71" t="s">
        <v>414</v>
      </c>
      <c r="E130" s="66" t="s">
        <v>415</v>
      </c>
      <c r="F130" s="72" t="s">
        <v>74</v>
      </c>
      <c r="G130" s="72" t="s">
        <v>572</v>
      </c>
      <c r="H130" s="105"/>
      <c r="I130" s="105"/>
      <c r="J130" s="105"/>
      <c r="K130" s="105"/>
      <c r="L130" s="105"/>
    </row>
    <row r="131" spans="1:12" ht="31" x14ac:dyDescent="0.35">
      <c r="A131" s="66">
        <v>125</v>
      </c>
      <c r="B131" s="81" t="s">
        <v>416</v>
      </c>
      <c r="C131" s="87" t="s">
        <v>417</v>
      </c>
      <c r="D131" s="71" t="s">
        <v>418</v>
      </c>
      <c r="E131" s="66" t="s">
        <v>415</v>
      </c>
      <c r="F131" s="72" t="s">
        <v>572</v>
      </c>
      <c r="G131" s="72" t="s">
        <v>570</v>
      </c>
      <c r="H131" s="105"/>
      <c r="I131" s="105"/>
      <c r="J131" s="105"/>
      <c r="K131" s="105"/>
      <c r="L131" s="105"/>
    </row>
    <row r="132" spans="1:12" ht="31" x14ac:dyDescent="0.35">
      <c r="A132" s="66">
        <v>126</v>
      </c>
      <c r="B132" s="67" t="s">
        <v>428</v>
      </c>
      <c r="C132" s="70" t="s">
        <v>429</v>
      </c>
      <c r="D132" s="71" t="s">
        <v>430</v>
      </c>
      <c r="E132" s="66" t="s">
        <v>415</v>
      </c>
      <c r="F132" s="72" t="s">
        <v>570</v>
      </c>
      <c r="G132" s="72" t="s">
        <v>329</v>
      </c>
      <c r="H132" s="105"/>
      <c r="I132" s="105"/>
      <c r="J132" s="105"/>
      <c r="K132" s="105"/>
      <c r="L132" s="105"/>
    </row>
    <row r="133" spans="1:12" ht="31" x14ac:dyDescent="0.35">
      <c r="A133" s="66">
        <v>127</v>
      </c>
      <c r="B133" s="88" t="s">
        <v>437</v>
      </c>
      <c r="C133" s="89" t="s">
        <v>438</v>
      </c>
      <c r="D133" s="75" t="s">
        <v>439</v>
      </c>
      <c r="E133" s="66" t="s">
        <v>415</v>
      </c>
      <c r="F133" s="72" t="s">
        <v>329</v>
      </c>
      <c r="G133" s="72" t="s">
        <v>570</v>
      </c>
      <c r="H133" s="105"/>
      <c r="I133" s="105"/>
      <c r="J133" s="105"/>
      <c r="K133" s="105"/>
      <c r="L133" s="105"/>
    </row>
    <row r="134" spans="1:12" ht="31" x14ac:dyDescent="0.35">
      <c r="A134" s="66">
        <v>128</v>
      </c>
      <c r="B134" s="81" t="s">
        <v>419</v>
      </c>
      <c r="C134" s="86" t="s">
        <v>420</v>
      </c>
      <c r="D134" s="71" t="s">
        <v>421</v>
      </c>
      <c r="E134" s="66" t="s">
        <v>415</v>
      </c>
      <c r="F134" s="72" t="s">
        <v>329</v>
      </c>
      <c r="G134" s="72" t="s">
        <v>540</v>
      </c>
      <c r="H134" s="105"/>
      <c r="I134" s="105"/>
      <c r="J134" s="105"/>
      <c r="K134" s="105"/>
      <c r="L134" s="105"/>
    </row>
    <row r="135" spans="1:12" ht="31" x14ac:dyDescent="0.35">
      <c r="A135" s="66">
        <v>129</v>
      </c>
      <c r="B135" s="81" t="s">
        <v>422</v>
      </c>
      <c r="C135" s="87" t="s">
        <v>423</v>
      </c>
      <c r="D135" s="71" t="s">
        <v>424</v>
      </c>
      <c r="E135" s="66" t="s">
        <v>415</v>
      </c>
      <c r="F135" s="72" t="s">
        <v>378</v>
      </c>
      <c r="G135" s="72" t="s">
        <v>329</v>
      </c>
    </row>
    <row r="136" spans="1:12" ht="31" x14ac:dyDescent="0.35">
      <c r="A136" s="66">
        <v>130</v>
      </c>
      <c r="B136" s="82" t="s">
        <v>425</v>
      </c>
      <c r="C136" s="86" t="s">
        <v>426</v>
      </c>
      <c r="D136" s="71" t="s">
        <v>427</v>
      </c>
      <c r="E136" s="66" t="s">
        <v>415</v>
      </c>
      <c r="F136" s="72" t="s">
        <v>329</v>
      </c>
      <c r="G136" s="72" t="s">
        <v>378</v>
      </c>
      <c r="H136" s="105"/>
      <c r="I136" s="105"/>
      <c r="J136" s="105"/>
      <c r="K136" s="105"/>
      <c r="L136" s="105"/>
    </row>
    <row r="137" spans="1:12" ht="31" x14ac:dyDescent="0.35">
      <c r="A137" s="66">
        <v>131</v>
      </c>
      <c r="B137" s="90" t="s">
        <v>434</v>
      </c>
      <c r="C137" s="91" t="s">
        <v>435</v>
      </c>
      <c r="D137" s="77" t="s">
        <v>436</v>
      </c>
      <c r="E137" s="66" t="s">
        <v>415</v>
      </c>
      <c r="F137" s="72" t="s">
        <v>378</v>
      </c>
      <c r="G137" s="72" t="s">
        <v>329</v>
      </c>
      <c r="H137" s="105"/>
      <c r="I137" s="105"/>
      <c r="J137" s="105"/>
      <c r="K137" s="105"/>
      <c r="L137" s="105"/>
    </row>
    <row r="138" spans="1:12" ht="31" x14ac:dyDescent="0.35">
      <c r="A138" s="66">
        <v>132</v>
      </c>
      <c r="B138" s="82" t="s">
        <v>431</v>
      </c>
      <c r="C138" s="70" t="s">
        <v>432</v>
      </c>
      <c r="D138" s="71" t="s">
        <v>433</v>
      </c>
      <c r="E138" s="66" t="s">
        <v>415</v>
      </c>
      <c r="F138" s="78" t="s">
        <v>49</v>
      </c>
      <c r="G138" s="78" t="s">
        <v>26</v>
      </c>
      <c r="H138" s="105"/>
      <c r="I138" s="105"/>
      <c r="J138" s="105"/>
      <c r="K138" s="105"/>
      <c r="L138" s="105"/>
    </row>
    <row r="139" spans="1:12" ht="31" x14ac:dyDescent="0.35">
      <c r="A139" s="66">
        <v>133</v>
      </c>
      <c r="B139" s="81" t="s">
        <v>443</v>
      </c>
      <c r="C139" s="86" t="s">
        <v>444</v>
      </c>
      <c r="D139" s="71" t="s">
        <v>445</v>
      </c>
      <c r="E139" s="66" t="s">
        <v>442</v>
      </c>
      <c r="F139" s="72" t="s">
        <v>570</v>
      </c>
      <c r="G139" s="72" t="s">
        <v>329</v>
      </c>
      <c r="H139" s="105"/>
      <c r="I139" s="105"/>
      <c r="J139" s="105"/>
      <c r="K139" s="105"/>
      <c r="L139" s="105"/>
    </row>
    <row r="140" spans="1:12" ht="31" x14ac:dyDescent="0.35">
      <c r="A140" s="66">
        <v>134</v>
      </c>
      <c r="B140" s="81" t="s">
        <v>446</v>
      </c>
      <c r="C140" s="86" t="s">
        <v>447</v>
      </c>
      <c r="D140" s="71" t="s">
        <v>448</v>
      </c>
      <c r="E140" s="66" t="s">
        <v>442</v>
      </c>
      <c r="F140" s="72" t="s">
        <v>74</v>
      </c>
      <c r="G140" s="72" t="s">
        <v>570</v>
      </c>
      <c r="H140" s="105"/>
      <c r="I140" s="105"/>
      <c r="J140" s="105"/>
      <c r="K140" s="105"/>
      <c r="L140" s="105"/>
    </row>
    <row r="141" spans="1:12" ht="31" x14ac:dyDescent="0.35">
      <c r="A141" s="66">
        <v>135</v>
      </c>
      <c r="B141" s="81" t="s">
        <v>452</v>
      </c>
      <c r="C141" s="87" t="s">
        <v>453</v>
      </c>
      <c r="D141" s="71" t="s">
        <v>454</v>
      </c>
      <c r="E141" s="66" t="s">
        <v>442</v>
      </c>
      <c r="F141" s="72" t="s">
        <v>570</v>
      </c>
      <c r="G141" s="72" t="s">
        <v>577</v>
      </c>
      <c r="H141" s="105"/>
      <c r="I141" s="105"/>
      <c r="J141" s="105"/>
      <c r="K141" s="105"/>
      <c r="L141" s="105"/>
    </row>
    <row r="142" spans="1:12" ht="31" x14ac:dyDescent="0.35">
      <c r="A142" s="66">
        <v>136</v>
      </c>
      <c r="B142" s="81" t="s">
        <v>455</v>
      </c>
      <c r="C142" s="87" t="s">
        <v>456</v>
      </c>
      <c r="D142" s="71" t="s">
        <v>457</v>
      </c>
      <c r="E142" s="66" t="s">
        <v>442</v>
      </c>
      <c r="F142" s="72" t="s">
        <v>577</v>
      </c>
      <c r="G142" s="72" t="s">
        <v>570</v>
      </c>
      <c r="H142" s="105"/>
      <c r="I142" s="105"/>
      <c r="J142" s="105"/>
      <c r="K142" s="105"/>
      <c r="L142" s="105"/>
    </row>
    <row r="143" spans="1:12" ht="31" x14ac:dyDescent="0.35">
      <c r="A143" s="66">
        <v>137</v>
      </c>
      <c r="B143" s="81" t="s">
        <v>461</v>
      </c>
      <c r="C143" s="79" t="s">
        <v>462</v>
      </c>
      <c r="D143" s="71" t="s">
        <v>463</v>
      </c>
      <c r="E143" s="66" t="s">
        <v>442</v>
      </c>
      <c r="F143" s="72" t="s">
        <v>570</v>
      </c>
      <c r="G143" s="72" t="s">
        <v>572</v>
      </c>
      <c r="H143" s="105"/>
      <c r="I143" s="105"/>
      <c r="J143" s="105"/>
      <c r="K143" s="105"/>
      <c r="L143" s="105"/>
    </row>
    <row r="144" spans="1:12" ht="31" x14ac:dyDescent="0.35">
      <c r="A144" s="66">
        <v>138</v>
      </c>
      <c r="B144" s="92" t="s">
        <v>19</v>
      </c>
      <c r="C144" s="93" t="s">
        <v>440</v>
      </c>
      <c r="D144" s="80" t="s">
        <v>441</v>
      </c>
      <c r="E144" s="66" t="s">
        <v>442</v>
      </c>
      <c r="F144" s="72" t="s">
        <v>577</v>
      </c>
      <c r="G144" s="72" t="s">
        <v>378</v>
      </c>
      <c r="H144" s="105"/>
      <c r="I144" s="105"/>
      <c r="J144" s="105"/>
      <c r="K144" s="105"/>
      <c r="L144" s="105"/>
    </row>
    <row r="145" spans="1:12" ht="31" x14ac:dyDescent="0.35">
      <c r="A145" s="66">
        <v>139</v>
      </c>
      <c r="B145" s="81" t="s">
        <v>449</v>
      </c>
      <c r="C145" s="70" t="s">
        <v>450</v>
      </c>
      <c r="D145" s="71" t="s">
        <v>451</v>
      </c>
      <c r="E145" s="66" t="s">
        <v>442</v>
      </c>
      <c r="F145" s="72" t="s">
        <v>378</v>
      </c>
      <c r="G145" s="72" t="s">
        <v>577</v>
      </c>
      <c r="H145" s="105"/>
      <c r="I145" s="105"/>
      <c r="J145" s="105"/>
      <c r="K145" s="105"/>
      <c r="L145" s="105"/>
    </row>
    <row r="146" spans="1:12" ht="31" x14ac:dyDescent="0.35">
      <c r="A146" s="66">
        <v>140</v>
      </c>
      <c r="B146" s="81" t="s">
        <v>458</v>
      </c>
      <c r="C146" s="79" t="s">
        <v>459</v>
      </c>
      <c r="D146" s="71" t="s">
        <v>460</v>
      </c>
      <c r="E146" s="66" t="s">
        <v>442</v>
      </c>
      <c r="F146" s="72" t="s">
        <v>577</v>
      </c>
      <c r="G146" s="72" t="s">
        <v>378</v>
      </c>
      <c r="H146" s="105"/>
      <c r="I146" s="105"/>
      <c r="J146" s="105"/>
      <c r="K146" s="105"/>
      <c r="L146" s="105"/>
    </row>
    <row r="147" spans="1:12" ht="31" x14ac:dyDescent="0.35">
      <c r="A147" s="66">
        <v>141</v>
      </c>
      <c r="B147" s="94" t="s">
        <v>579</v>
      </c>
      <c r="C147" s="94" t="s">
        <v>580</v>
      </c>
      <c r="D147" s="95"/>
      <c r="E147" s="96" t="s">
        <v>442</v>
      </c>
      <c r="F147" s="72" t="s">
        <v>570</v>
      </c>
      <c r="G147" s="72" t="s">
        <v>572</v>
      </c>
      <c r="H147" s="105"/>
      <c r="I147" s="105"/>
      <c r="J147" s="105"/>
      <c r="K147" s="105"/>
      <c r="L147" s="105"/>
    </row>
    <row r="148" spans="1:12" ht="31" x14ac:dyDescent="0.35">
      <c r="A148" s="66">
        <v>142</v>
      </c>
      <c r="B148" s="81" t="s">
        <v>464</v>
      </c>
      <c r="C148" s="76">
        <v>1.9881225202012099E+17</v>
      </c>
      <c r="D148" s="71" t="s">
        <v>465</v>
      </c>
      <c r="E148" s="66" t="s">
        <v>466</v>
      </c>
      <c r="F148" s="72" t="s">
        <v>202</v>
      </c>
      <c r="G148" s="72" t="s">
        <v>577</v>
      </c>
      <c r="H148" s="105"/>
      <c r="I148" s="105"/>
      <c r="J148" s="105"/>
      <c r="K148" s="105"/>
      <c r="L148" s="105"/>
    </row>
    <row r="149" spans="1:12" ht="31" x14ac:dyDescent="0.35">
      <c r="A149" s="66">
        <v>143</v>
      </c>
      <c r="B149" s="81" t="s">
        <v>467</v>
      </c>
      <c r="C149" s="86" t="s">
        <v>468</v>
      </c>
      <c r="D149" s="71" t="s">
        <v>469</v>
      </c>
      <c r="E149" s="66" t="s">
        <v>466</v>
      </c>
      <c r="F149" s="72" t="s">
        <v>577</v>
      </c>
      <c r="G149" s="72" t="s">
        <v>202</v>
      </c>
      <c r="H149" s="105"/>
      <c r="I149" s="105"/>
      <c r="J149" s="105"/>
      <c r="K149" s="105"/>
      <c r="L149" s="105"/>
    </row>
    <row r="150" spans="1:12" ht="31" x14ac:dyDescent="0.35">
      <c r="A150" s="66">
        <v>144</v>
      </c>
      <c r="B150" s="81" t="s">
        <v>470</v>
      </c>
      <c r="C150" s="86" t="s">
        <v>471</v>
      </c>
      <c r="D150" s="71" t="s">
        <v>472</v>
      </c>
      <c r="E150" s="66" t="s">
        <v>473</v>
      </c>
      <c r="F150" s="72" t="s">
        <v>572</v>
      </c>
      <c r="G150" s="72" t="s">
        <v>577</v>
      </c>
      <c r="H150" s="105"/>
      <c r="I150" s="105"/>
      <c r="J150" s="105"/>
      <c r="K150" s="105"/>
      <c r="L150" s="105"/>
    </row>
    <row r="151" spans="1:12" ht="31" x14ac:dyDescent="0.35">
      <c r="A151" s="66">
        <v>145</v>
      </c>
      <c r="B151" s="81" t="s">
        <v>474</v>
      </c>
      <c r="C151" s="70" t="s">
        <v>475</v>
      </c>
      <c r="D151" s="71" t="s">
        <v>476</v>
      </c>
      <c r="E151" s="66" t="s">
        <v>473</v>
      </c>
      <c r="F151" s="72" t="s">
        <v>163</v>
      </c>
      <c r="G151" s="72" t="s">
        <v>572</v>
      </c>
      <c r="H151" s="105"/>
      <c r="I151" s="105"/>
      <c r="J151" s="105"/>
      <c r="K151" s="105"/>
      <c r="L151" s="105"/>
    </row>
    <row r="152" spans="1:12" ht="31" x14ac:dyDescent="0.35">
      <c r="A152" s="66">
        <v>146</v>
      </c>
      <c r="B152" s="82" t="s">
        <v>480</v>
      </c>
      <c r="C152" s="70" t="s">
        <v>481</v>
      </c>
      <c r="D152" s="71" t="s">
        <v>482</v>
      </c>
      <c r="E152" s="66" t="s">
        <v>473</v>
      </c>
      <c r="F152" s="72" t="s">
        <v>572</v>
      </c>
      <c r="G152" s="72" t="s">
        <v>163</v>
      </c>
      <c r="H152" s="105"/>
      <c r="I152" s="105"/>
      <c r="J152" s="105"/>
      <c r="K152" s="105"/>
      <c r="L152" s="105"/>
    </row>
    <row r="153" spans="1:12" ht="31" x14ac:dyDescent="0.35">
      <c r="A153" s="66">
        <v>147</v>
      </c>
      <c r="B153" s="81" t="s">
        <v>486</v>
      </c>
      <c r="C153" s="86" t="s">
        <v>487</v>
      </c>
      <c r="D153" s="71" t="s">
        <v>488</v>
      </c>
      <c r="E153" s="66" t="s">
        <v>473</v>
      </c>
      <c r="F153" s="72" t="s">
        <v>163</v>
      </c>
      <c r="G153" s="72" t="s">
        <v>572</v>
      </c>
      <c r="H153" s="105"/>
      <c r="I153" s="105"/>
      <c r="J153" s="105"/>
      <c r="K153" s="105"/>
      <c r="L153" s="105"/>
    </row>
    <row r="154" spans="1:12" ht="31" x14ac:dyDescent="0.35">
      <c r="A154" s="66">
        <v>148</v>
      </c>
      <c r="B154" s="97" t="s">
        <v>492</v>
      </c>
      <c r="C154" s="98" t="s">
        <v>493</v>
      </c>
      <c r="D154" s="75" t="s">
        <v>494</v>
      </c>
      <c r="E154" s="66" t="s">
        <v>473</v>
      </c>
      <c r="F154" s="72" t="s">
        <v>572</v>
      </c>
      <c r="G154" s="72" t="s">
        <v>163</v>
      </c>
      <c r="H154" s="105"/>
      <c r="I154" s="105"/>
      <c r="J154" s="105"/>
      <c r="K154" s="105"/>
      <c r="L154" s="105"/>
    </row>
    <row r="155" spans="1:12" ht="31" x14ac:dyDescent="0.35">
      <c r="A155" s="66">
        <v>149</v>
      </c>
      <c r="B155" s="69" t="s">
        <v>477</v>
      </c>
      <c r="C155" s="87" t="s">
        <v>478</v>
      </c>
      <c r="D155" s="71" t="s">
        <v>479</v>
      </c>
      <c r="E155" s="66" t="s">
        <v>473</v>
      </c>
      <c r="F155" s="72" t="s">
        <v>202</v>
      </c>
      <c r="G155" s="72" t="s">
        <v>577</v>
      </c>
      <c r="H155" s="105"/>
      <c r="I155" s="105"/>
      <c r="J155" s="105"/>
      <c r="K155" s="105"/>
      <c r="L155" s="105"/>
    </row>
    <row r="156" spans="1:12" ht="31" x14ac:dyDescent="0.35">
      <c r="A156" s="66">
        <v>150</v>
      </c>
      <c r="B156" s="69" t="s">
        <v>483</v>
      </c>
      <c r="C156" s="76" t="s">
        <v>484</v>
      </c>
      <c r="D156" s="71" t="s">
        <v>485</v>
      </c>
      <c r="E156" s="66" t="s">
        <v>473</v>
      </c>
      <c r="F156" s="72" t="s">
        <v>577</v>
      </c>
      <c r="G156" s="72" t="s">
        <v>202</v>
      </c>
      <c r="H156" s="105"/>
      <c r="I156" s="105"/>
      <c r="J156" s="105"/>
      <c r="K156" s="105"/>
      <c r="L156" s="105"/>
    </row>
    <row r="157" spans="1:12" ht="31" x14ac:dyDescent="0.35">
      <c r="A157" s="66">
        <v>151</v>
      </c>
      <c r="B157" s="92" t="s">
        <v>495</v>
      </c>
      <c r="C157" s="99" t="s">
        <v>496</v>
      </c>
      <c r="D157" s="80" t="s">
        <v>497</v>
      </c>
      <c r="E157" s="100" t="s">
        <v>498</v>
      </c>
      <c r="F157" s="72" t="s">
        <v>572</v>
      </c>
      <c r="G157" s="72" t="s">
        <v>570</v>
      </c>
      <c r="H157" s="105"/>
      <c r="I157" s="105"/>
      <c r="J157" s="105"/>
      <c r="K157" s="105"/>
      <c r="L157" s="105"/>
    </row>
    <row r="158" spans="1:12" ht="31" x14ac:dyDescent="0.35">
      <c r="A158" s="66">
        <v>152</v>
      </c>
      <c r="B158" s="81" t="s">
        <v>522</v>
      </c>
      <c r="C158" s="79" t="s">
        <v>523</v>
      </c>
      <c r="D158" s="71" t="s">
        <v>524</v>
      </c>
      <c r="E158" s="66" t="s">
        <v>498</v>
      </c>
      <c r="F158" s="72" t="s">
        <v>570</v>
      </c>
      <c r="G158" s="72" t="s">
        <v>572</v>
      </c>
      <c r="H158" s="105"/>
      <c r="I158" s="105"/>
      <c r="J158" s="105"/>
      <c r="K158" s="105"/>
      <c r="L158" s="105"/>
    </row>
    <row r="159" spans="1:12" ht="31" x14ac:dyDescent="0.35">
      <c r="A159" s="66">
        <v>153</v>
      </c>
      <c r="B159" s="81" t="s">
        <v>499</v>
      </c>
      <c r="C159" s="87" t="s">
        <v>500</v>
      </c>
      <c r="D159" s="71" t="s">
        <v>501</v>
      </c>
      <c r="E159" s="66" t="s">
        <v>498</v>
      </c>
      <c r="F159" s="72" t="s">
        <v>202</v>
      </c>
      <c r="G159" s="72" t="s">
        <v>540</v>
      </c>
      <c r="H159" s="105"/>
      <c r="I159" s="105"/>
      <c r="J159" s="105"/>
      <c r="K159" s="105"/>
      <c r="L159" s="105"/>
    </row>
    <row r="160" spans="1:12" ht="31" x14ac:dyDescent="0.35">
      <c r="A160" s="66">
        <v>154</v>
      </c>
      <c r="B160" s="81" t="s">
        <v>513</v>
      </c>
      <c r="C160" s="87" t="s">
        <v>514</v>
      </c>
      <c r="D160" s="71" t="s">
        <v>515</v>
      </c>
      <c r="E160" s="66" t="s">
        <v>498</v>
      </c>
      <c r="F160" s="72" t="s">
        <v>540</v>
      </c>
      <c r="G160" s="72" t="s">
        <v>329</v>
      </c>
      <c r="H160" s="105"/>
      <c r="I160" s="105"/>
      <c r="J160" s="105"/>
      <c r="K160" s="105"/>
      <c r="L160" s="105"/>
    </row>
    <row r="161" spans="1:12" ht="31" x14ac:dyDescent="0.35">
      <c r="A161" s="66">
        <v>155</v>
      </c>
      <c r="B161" s="81" t="s">
        <v>519</v>
      </c>
      <c r="C161" s="76" t="s">
        <v>520</v>
      </c>
      <c r="D161" s="71" t="s">
        <v>521</v>
      </c>
      <c r="E161" s="66" t="s">
        <v>498</v>
      </c>
      <c r="F161" s="72" t="s">
        <v>202</v>
      </c>
      <c r="G161" s="72" t="s">
        <v>540</v>
      </c>
      <c r="H161" s="105"/>
      <c r="I161" s="105"/>
      <c r="J161" s="105"/>
      <c r="K161" s="105"/>
      <c r="L161" s="105"/>
    </row>
    <row r="162" spans="1:12" ht="31" x14ac:dyDescent="0.35">
      <c r="A162" s="66">
        <v>156</v>
      </c>
      <c r="B162" s="81" t="s">
        <v>34</v>
      </c>
      <c r="C162" s="87" t="s">
        <v>502</v>
      </c>
      <c r="D162" s="71" t="s">
        <v>503</v>
      </c>
      <c r="E162" s="66" t="s">
        <v>498</v>
      </c>
      <c r="F162" s="78" t="s">
        <v>64</v>
      </c>
      <c r="G162" s="72" t="s">
        <v>163</v>
      </c>
      <c r="H162" s="105"/>
      <c r="I162" s="105"/>
      <c r="J162" s="105"/>
      <c r="K162" s="105"/>
      <c r="L162" s="105"/>
    </row>
    <row r="163" spans="1:12" ht="31" x14ac:dyDescent="0.35">
      <c r="A163" s="66">
        <v>157</v>
      </c>
      <c r="B163" s="81" t="s">
        <v>507</v>
      </c>
      <c r="C163" s="70" t="s">
        <v>508</v>
      </c>
      <c r="D163" s="71" t="s">
        <v>509</v>
      </c>
      <c r="E163" s="66" t="s">
        <v>498</v>
      </c>
      <c r="F163" s="72" t="s">
        <v>163</v>
      </c>
      <c r="G163" s="78" t="s">
        <v>64</v>
      </c>
      <c r="H163" s="105"/>
      <c r="I163" s="105"/>
      <c r="J163" s="105"/>
      <c r="K163" s="105"/>
      <c r="L163" s="105"/>
    </row>
    <row r="164" spans="1:12" ht="31" x14ac:dyDescent="0.35">
      <c r="A164" s="66">
        <v>158</v>
      </c>
      <c r="B164" s="81" t="s">
        <v>504</v>
      </c>
      <c r="C164" s="86" t="s">
        <v>505</v>
      </c>
      <c r="D164" s="71" t="s">
        <v>506</v>
      </c>
      <c r="E164" s="66" t="s">
        <v>498</v>
      </c>
      <c r="F164" s="78" t="s">
        <v>26</v>
      </c>
      <c r="G164" s="78" t="s">
        <v>49</v>
      </c>
      <c r="H164" s="105"/>
      <c r="I164" s="105"/>
      <c r="J164" s="105"/>
      <c r="K164" s="105"/>
      <c r="L164" s="105"/>
    </row>
    <row r="165" spans="1:12" ht="31" x14ac:dyDescent="0.35">
      <c r="A165" s="66">
        <v>159</v>
      </c>
      <c r="B165" s="81" t="s">
        <v>510</v>
      </c>
      <c r="C165" s="70" t="s">
        <v>511</v>
      </c>
      <c r="D165" s="71" t="s">
        <v>512</v>
      </c>
      <c r="E165" s="66" t="s">
        <v>498</v>
      </c>
      <c r="F165" s="78" t="s">
        <v>49</v>
      </c>
      <c r="G165" s="78" t="s">
        <v>26</v>
      </c>
      <c r="H165" s="105"/>
      <c r="I165" s="105"/>
      <c r="J165" s="105"/>
      <c r="K165" s="105"/>
      <c r="L165" s="105"/>
    </row>
    <row r="166" spans="1:12" ht="31" x14ac:dyDescent="0.35">
      <c r="A166" s="66">
        <v>160</v>
      </c>
      <c r="B166" s="81" t="s">
        <v>546</v>
      </c>
      <c r="C166" s="70" t="s">
        <v>547</v>
      </c>
      <c r="D166" s="71" t="s">
        <v>548</v>
      </c>
      <c r="E166" s="66" t="s">
        <v>528</v>
      </c>
      <c r="F166" s="72" t="s">
        <v>572</v>
      </c>
      <c r="G166" s="72" t="s">
        <v>570</v>
      </c>
      <c r="H166" s="105"/>
      <c r="I166" s="105"/>
      <c r="J166" s="105"/>
      <c r="K166" s="105"/>
      <c r="L166" s="105"/>
    </row>
    <row r="167" spans="1:12" ht="31" x14ac:dyDescent="0.35">
      <c r="A167" s="66">
        <v>161</v>
      </c>
      <c r="B167" s="81" t="s">
        <v>552</v>
      </c>
      <c r="C167" s="79" t="s">
        <v>553</v>
      </c>
      <c r="D167" s="71" t="s">
        <v>554</v>
      </c>
      <c r="E167" s="66" t="s">
        <v>528</v>
      </c>
      <c r="F167" s="72" t="s">
        <v>570</v>
      </c>
      <c r="G167" s="72" t="s">
        <v>572</v>
      </c>
      <c r="H167" s="105"/>
      <c r="I167" s="105"/>
      <c r="J167" s="105"/>
      <c r="K167" s="105"/>
      <c r="L167" s="105"/>
    </row>
    <row r="168" spans="1:12" ht="31" x14ac:dyDescent="0.35">
      <c r="A168" s="66">
        <v>162</v>
      </c>
      <c r="B168" s="81" t="s">
        <v>555</v>
      </c>
      <c r="C168" s="101" t="s">
        <v>556</v>
      </c>
      <c r="D168" s="84" t="s">
        <v>557</v>
      </c>
      <c r="E168" s="66" t="s">
        <v>528</v>
      </c>
      <c r="F168" s="72" t="s">
        <v>572</v>
      </c>
      <c r="G168" s="72" t="s">
        <v>570</v>
      </c>
      <c r="H168" s="105"/>
      <c r="I168" s="105"/>
      <c r="J168" s="105"/>
      <c r="K168" s="105"/>
      <c r="L168" s="105"/>
    </row>
    <row r="169" spans="1:12" ht="31" x14ac:dyDescent="0.35">
      <c r="A169" s="66">
        <v>163</v>
      </c>
      <c r="B169" s="88" t="s">
        <v>584</v>
      </c>
      <c r="C169" s="98" t="s">
        <v>585</v>
      </c>
      <c r="D169" s="75"/>
      <c r="E169" s="66" t="s">
        <v>586</v>
      </c>
      <c r="F169" s="72" t="s">
        <v>570</v>
      </c>
      <c r="G169" s="72" t="s">
        <v>572</v>
      </c>
      <c r="H169" s="105"/>
      <c r="I169" s="105"/>
      <c r="J169" s="105"/>
      <c r="K169" s="105"/>
      <c r="L169" s="105"/>
    </row>
    <row r="170" spans="1:12" ht="31" x14ac:dyDescent="0.35">
      <c r="A170" s="66">
        <v>164</v>
      </c>
      <c r="B170" s="102" t="s">
        <v>581</v>
      </c>
      <c r="C170" s="103" t="s">
        <v>582</v>
      </c>
      <c r="D170" s="75"/>
      <c r="E170" s="66" t="s">
        <v>583</v>
      </c>
      <c r="F170" s="72" t="s">
        <v>572</v>
      </c>
      <c r="G170" s="72" t="s">
        <v>570</v>
      </c>
      <c r="H170" s="105"/>
      <c r="I170" s="105"/>
      <c r="J170" s="105"/>
      <c r="K170" s="105"/>
      <c r="L170" s="105"/>
    </row>
    <row r="171" spans="1:12" ht="31" x14ac:dyDescent="0.35">
      <c r="A171" s="66">
        <v>165</v>
      </c>
      <c r="B171" s="81" t="s">
        <v>525</v>
      </c>
      <c r="C171" s="76" t="s">
        <v>526</v>
      </c>
      <c r="D171" s="71" t="s">
        <v>527</v>
      </c>
      <c r="E171" s="66" t="s">
        <v>528</v>
      </c>
      <c r="F171" s="72" t="s">
        <v>202</v>
      </c>
      <c r="G171" s="72" t="s">
        <v>329</v>
      </c>
      <c r="H171" s="105"/>
      <c r="I171" s="105"/>
      <c r="J171" s="105"/>
      <c r="K171" s="105"/>
      <c r="L171" s="105"/>
    </row>
    <row r="172" spans="1:12" ht="31" x14ac:dyDescent="0.35">
      <c r="A172" s="66">
        <v>166</v>
      </c>
      <c r="B172" s="81" t="s">
        <v>45</v>
      </c>
      <c r="C172" s="76" t="s">
        <v>529</v>
      </c>
      <c r="D172" s="71" t="s">
        <v>530</v>
      </c>
      <c r="E172" s="66" t="s">
        <v>528</v>
      </c>
      <c r="F172" s="72" t="s">
        <v>329</v>
      </c>
      <c r="G172" s="72" t="s">
        <v>577</v>
      </c>
      <c r="H172" s="105"/>
      <c r="I172" s="105"/>
      <c r="J172" s="105"/>
      <c r="K172" s="105"/>
      <c r="L172" s="105"/>
    </row>
    <row r="173" spans="1:12" ht="31" x14ac:dyDescent="0.35">
      <c r="A173" s="66">
        <v>167</v>
      </c>
      <c r="B173" s="81" t="s">
        <v>531</v>
      </c>
      <c r="C173" s="76" t="s">
        <v>532</v>
      </c>
      <c r="D173" s="71" t="s">
        <v>533</v>
      </c>
      <c r="E173" s="66" t="s">
        <v>528</v>
      </c>
      <c r="F173" s="72" t="s">
        <v>577</v>
      </c>
      <c r="G173" s="72" t="s">
        <v>329</v>
      </c>
      <c r="H173" s="105"/>
      <c r="I173" s="105" t="s">
        <v>603</v>
      </c>
      <c r="J173" s="105"/>
      <c r="K173" s="105"/>
      <c r="L173" s="105"/>
    </row>
    <row r="174" spans="1:12" ht="31" x14ac:dyDescent="0.35">
      <c r="A174" s="66">
        <v>168</v>
      </c>
      <c r="B174" s="90" t="s">
        <v>537</v>
      </c>
      <c r="C174" s="104" t="s">
        <v>538</v>
      </c>
      <c r="D174" s="77" t="s">
        <v>539</v>
      </c>
      <c r="E174" s="96" t="s">
        <v>528</v>
      </c>
      <c r="F174" s="72" t="s">
        <v>329</v>
      </c>
      <c r="G174" s="72" t="s">
        <v>378</v>
      </c>
      <c r="H174" s="105"/>
      <c r="I174" s="105"/>
      <c r="J174" s="105"/>
      <c r="K174" s="105"/>
      <c r="L174" s="105"/>
    </row>
    <row r="175" spans="1:12" ht="15.5" x14ac:dyDescent="0.35">
      <c r="A175" s="66">
        <v>169</v>
      </c>
      <c r="B175" s="81" t="s">
        <v>534</v>
      </c>
      <c r="C175" s="76" t="s">
        <v>535</v>
      </c>
      <c r="D175" s="71" t="s">
        <v>536</v>
      </c>
      <c r="E175" s="66" t="s">
        <v>528</v>
      </c>
      <c r="F175" s="72" t="s">
        <v>577</v>
      </c>
      <c r="G175" s="78" t="s">
        <v>64</v>
      </c>
      <c r="H175" s="105"/>
      <c r="I175" s="105"/>
      <c r="J175" s="105"/>
      <c r="K175" s="105"/>
      <c r="L175" s="105"/>
    </row>
    <row r="176" spans="1:12" ht="15.5" x14ac:dyDescent="0.35">
      <c r="A176" s="66">
        <v>170</v>
      </c>
      <c r="B176" s="81" t="s">
        <v>540</v>
      </c>
      <c r="C176" s="87" t="s">
        <v>541</v>
      </c>
      <c r="D176" s="71" t="s">
        <v>542</v>
      </c>
      <c r="E176" s="66" t="s">
        <v>528</v>
      </c>
      <c r="F176" s="78" t="s">
        <v>64</v>
      </c>
      <c r="G176" s="72" t="s">
        <v>577</v>
      </c>
      <c r="H176" s="105"/>
      <c r="I176" s="105"/>
      <c r="J176" s="105"/>
      <c r="K176" s="105"/>
      <c r="L176" s="105"/>
    </row>
    <row r="177" spans="1:12" ht="15.5" x14ac:dyDescent="0.35">
      <c r="A177" s="66">
        <v>171</v>
      </c>
      <c r="B177" s="81" t="s">
        <v>543</v>
      </c>
      <c r="C177" s="86" t="s">
        <v>544</v>
      </c>
      <c r="D177" s="71" t="s">
        <v>545</v>
      </c>
      <c r="E177" s="66" t="s">
        <v>528</v>
      </c>
      <c r="F177" s="72" t="s">
        <v>577</v>
      </c>
      <c r="G177" s="78" t="s">
        <v>64</v>
      </c>
      <c r="H177" s="105"/>
      <c r="I177" s="105"/>
      <c r="J177" s="105"/>
      <c r="K177" s="105"/>
      <c r="L177" s="105"/>
    </row>
    <row r="178" spans="1:12" ht="31" x14ac:dyDescent="0.35">
      <c r="A178" s="66">
        <v>172</v>
      </c>
      <c r="B178" s="81" t="s">
        <v>549</v>
      </c>
      <c r="C178" s="89" t="s">
        <v>550</v>
      </c>
      <c r="D178" s="71" t="s">
        <v>551</v>
      </c>
      <c r="E178" s="66" t="s">
        <v>528</v>
      </c>
      <c r="F178" s="72" t="s">
        <v>163</v>
      </c>
      <c r="G178" s="78" t="s">
        <v>64</v>
      </c>
      <c r="H178" s="105"/>
      <c r="I178" s="105"/>
      <c r="J178" s="105"/>
      <c r="K178" s="105"/>
      <c r="L178" s="105"/>
    </row>
    <row r="179" spans="1:12" ht="31" x14ac:dyDescent="0.35">
      <c r="A179" s="66">
        <v>173</v>
      </c>
      <c r="B179" s="88" t="s">
        <v>558</v>
      </c>
      <c r="C179" s="98" t="s">
        <v>559</v>
      </c>
      <c r="D179" s="75" t="s">
        <v>560</v>
      </c>
      <c r="E179" s="66" t="s">
        <v>561</v>
      </c>
      <c r="F179" s="72" t="s">
        <v>378</v>
      </c>
      <c r="G179" s="72" t="s">
        <v>329</v>
      </c>
      <c r="H179" s="105"/>
      <c r="I179" s="105"/>
      <c r="J179" s="105"/>
      <c r="K179" s="105"/>
      <c r="L179" s="105"/>
    </row>
    <row r="180" spans="1:12" ht="15.5" x14ac:dyDescent="0.35">
      <c r="A180" s="107"/>
      <c r="B180" s="110"/>
      <c r="C180" s="111"/>
      <c r="D180" s="112"/>
      <c r="E180" s="107"/>
      <c r="F180" s="113"/>
      <c r="G180" s="113"/>
      <c r="H180" s="105"/>
      <c r="I180" s="105"/>
      <c r="J180" s="105"/>
      <c r="K180" s="105"/>
      <c r="L180" s="105"/>
    </row>
    <row r="181" spans="1:12" ht="15.5" x14ac:dyDescent="0.35">
      <c r="A181" s="107"/>
      <c r="B181" s="110"/>
      <c r="C181" s="111"/>
      <c r="D181" s="112"/>
      <c r="E181" s="107"/>
      <c r="F181" s="113"/>
      <c r="G181" s="113"/>
      <c r="H181" s="105"/>
      <c r="I181" s="105"/>
      <c r="J181" s="105"/>
      <c r="K181" s="105"/>
      <c r="L181" s="105"/>
    </row>
    <row r="182" spans="1:12" ht="15.5" x14ac:dyDescent="0.35">
      <c r="A182" s="107"/>
      <c r="B182" s="110"/>
      <c r="C182" s="111"/>
      <c r="D182" s="112"/>
      <c r="E182" s="107"/>
      <c r="F182" s="113"/>
      <c r="G182" s="113"/>
      <c r="H182" s="105"/>
      <c r="I182" s="105"/>
      <c r="J182" s="105"/>
      <c r="K182" s="105"/>
      <c r="L182" s="105"/>
    </row>
    <row r="183" spans="1:12" ht="15.5" x14ac:dyDescent="0.35">
      <c r="H183" s="105"/>
      <c r="I183" s="105"/>
      <c r="J183" s="105"/>
      <c r="K183" s="105"/>
      <c r="L183" s="105"/>
    </row>
    <row r="184" spans="1:12" ht="15.5" x14ac:dyDescent="0.35">
      <c r="A184" s="107"/>
      <c r="B184" s="114"/>
      <c r="C184" s="74"/>
      <c r="D184" s="112"/>
      <c r="E184" s="107"/>
      <c r="F184" s="115"/>
      <c r="G184" s="115"/>
      <c r="H184" s="105"/>
      <c r="I184" s="105"/>
      <c r="J184" s="105"/>
      <c r="K184" s="105"/>
      <c r="L184" s="105"/>
    </row>
    <row r="185" spans="1:12" ht="15.5" x14ac:dyDescent="0.35">
      <c r="A185" s="107"/>
      <c r="B185" s="108"/>
      <c r="C185" s="109"/>
      <c r="D185" s="105"/>
      <c r="E185" s="107"/>
      <c r="F185" s="105" t="s">
        <v>562</v>
      </c>
      <c r="G185" s="105"/>
      <c r="H185" s="105"/>
      <c r="I185" s="105"/>
      <c r="J185" s="105"/>
      <c r="K185" s="105"/>
      <c r="L185" s="105"/>
    </row>
    <row r="186" spans="1:12" ht="15.5" x14ac:dyDescent="0.35">
      <c r="A186" s="107"/>
      <c r="B186" s="108"/>
      <c r="C186" s="109"/>
      <c r="D186" s="105"/>
      <c r="E186" s="107"/>
      <c r="F186" s="120" t="s">
        <v>563</v>
      </c>
      <c r="G186" s="120"/>
      <c r="H186" s="105"/>
      <c r="I186" s="105"/>
      <c r="J186" s="105"/>
      <c r="K186" s="105"/>
      <c r="L186" s="105"/>
    </row>
    <row r="187" spans="1:12" ht="15.5" x14ac:dyDescent="0.35">
      <c r="A187" s="107"/>
      <c r="B187" s="108"/>
      <c r="C187" s="109"/>
      <c r="D187" s="105"/>
      <c r="E187" s="107"/>
      <c r="F187" s="105"/>
      <c r="G187" s="105"/>
      <c r="H187" s="105"/>
      <c r="I187" s="105"/>
      <c r="J187" s="105"/>
      <c r="K187" s="105"/>
      <c r="L187" s="105"/>
    </row>
    <row r="188" spans="1:12" ht="15.5" x14ac:dyDescent="0.35">
      <c r="A188" s="107"/>
      <c r="B188" s="108"/>
      <c r="C188" s="109"/>
      <c r="D188" s="105"/>
      <c r="E188" s="107"/>
      <c r="F188" s="105"/>
      <c r="G188" s="105"/>
      <c r="H188" s="105"/>
      <c r="I188" s="105"/>
      <c r="J188" s="105"/>
      <c r="K188" s="105"/>
      <c r="L188" s="105"/>
    </row>
    <row r="189" spans="1:12" ht="15.5" x14ac:dyDescent="0.35">
      <c r="A189" s="107"/>
      <c r="B189" s="108"/>
      <c r="C189" s="109"/>
      <c r="D189" s="105"/>
      <c r="E189" s="107"/>
      <c r="F189" s="105"/>
      <c r="G189" s="105"/>
      <c r="H189" s="105"/>
      <c r="I189" s="105"/>
      <c r="J189" s="105"/>
      <c r="K189" s="105"/>
      <c r="L189" s="105"/>
    </row>
    <row r="190" spans="1:12" ht="15.5" x14ac:dyDescent="0.35">
      <c r="A190" s="107"/>
      <c r="B190" s="108"/>
      <c r="C190" s="109"/>
      <c r="D190" s="105"/>
      <c r="E190" s="107"/>
      <c r="F190" s="119" t="s">
        <v>422</v>
      </c>
      <c r="G190" s="120"/>
      <c r="H190" s="105"/>
      <c r="I190" s="105"/>
      <c r="J190" s="105"/>
      <c r="K190" s="105"/>
      <c r="L190" s="105"/>
    </row>
    <row r="191" spans="1:12" ht="15.5" x14ac:dyDescent="0.35">
      <c r="A191" s="107"/>
      <c r="B191" s="108"/>
      <c r="C191" s="109"/>
      <c r="D191" s="105"/>
      <c r="E191" s="107"/>
      <c r="F191" s="105" t="s">
        <v>564</v>
      </c>
      <c r="G191" s="105"/>
      <c r="H191" s="105"/>
      <c r="I191" s="105"/>
      <c r="J191" s="105"/>
      <c r="K191" s="105"/>
      <c r="L191" s="105"/>
    </row>
  </sheetData>
  <mergeCells count="6">
    <mergeCell ref="F190:G190"/>
    <mergeCell ref="A1:G1"/>
    <mergeCell ref="A2:G2"/>
    <mergeCell ref="A3:G3"/>
    <mergeCell ref="A4:G4"/>
    <mergeCell ref="F186:G186"/>
  </mergeCells>
  <pageMargins left="0.70866141732283472" right="0.70866141732283472" top="0.74803149606299213" bottom="0.74803149606299213" header="0.31496062992125984" footer="0.31496062992125984"/>
  <pageSetup scale="7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20F45-04C0-4C95-A7A4-45FF9C7C9221}">
  <dimension ref="B3:M36"/>
  <sheetViews>
    <sheetView zoomScaleNormal="100" workbookViewId="0">
      <selection activeCell="E23" sqref="E23"/>
    </sheetView>
  </sheetViews>
  <sheetFormatPr defaultRowHeight="14.5" x14ac:dyDescent="0.35"/>
  <cols>
    <col min="2" max="2" width="15.7265625" customWidth="1"/>
    <col min="3" max="3" width="52" customWidth="1"/>
    <col min="6" max="6" width="9.1796875" style="47"/>
    <col min="8" max="8" width="5.7265625" customWidth="1"/>
    <col min="9" max="9" width="22.1796875" customWidth="1"/>
    <col min="10" max="10" width="51" customWidth="1"/>
  </cols>
  <sheetData>
    <row r="3" spans="2:13" x14ac:dyDescent="0.35">
      <c r="B3" s="122" t="s">
        <v>588</v>
      </c>
      <c r="C3" s="51" t="s">
        <v>589</v>
      </c>
      <c r="D3" s="52" t="s">
        <v>590</v>
      </c>
      <c r="E3" s="52" t="s">
        <v>591</v>
      </c>
      <c r="F3" s="52" t="s">
        <v>595</v>
      </c>
      <c r="G3" s="53"/>
      <c r="H3" s="53"/>
      <c r="I3" s="132" t="s">
        <v>594</v>
      </c>
      <c r="J3" s="54" t="s">
        <v>592</v>
      </c>
      <c r="K3" s="52" t="s">
        <v>590</v>
      </c>
      <c r="L3" s="52" t="s">
        <v>591</v>
      </c>
      <c r="M3" s="52" t="s">
        <v>595</v>
      </c>
    </row>
    <row r="4" spans="2:13" ht="18.75" customHeight="1" x14ac:dyDescent="0.35">
      <c r="B4" s="123"/>
      <c r="C4" s="50" t="s">
        <v>74</v>
      </c>
      <c r="D4" s="51">
        <v>14</v>
      </c>
      <c r="E4" s="51">
        <v>12</v>
      </c>
      <c r="F4" s="51">
        <f>D4+E4</f>
        <v>26</v>
      </c>
      <c r="G4" s="53"/>
      <c r="H4" s="53"/>
      <c r="I4" s="133"/>
      <c r="J4" s="48" t="s">
        <v>64</v>
      </c>
      <c r="K4" s="51">
        <v>2</v>
      </c>
      <c r="L4" s="51">
        <v>4</v>
      </c>
      <c r="M4" s="51">
        <f>K4+L4</f>
        <v>6</v>
      </c>
    </row>
    <row r="5" spans="2:13" ht="15.5" x14ac:dyDescent="0.35">
      <c r="B5" s="123"/>
      <c r="C5" s="50" t="s">
        <v>163</v>
      </c>
      <c r="D5" s="51">
        <v>2</v>
      </c>
      <c r="E5" s="51">
        <v>2</v>
      </c>
      <c r="F5" s="51">
        <f t="shared" ref="F5:F13" si="0">D5+E5</f>
        <v>4</v>
      </c>
      <c r="G5" s="53"/>
      <c r="H5" s="53"/>
      <c r="I5" s="133"/>
      <c r="J5" s="48" t="s">
        <v>378</v>
      </c>
      <c r="K5" s="51">
        <v>4</v>
      </c>
      <c r="L5" s="51">
        <v>5</v>
      </c>
      <c r="M5" s="51">
        <f t="shared" ref="M5:M12" si="1">K5+L5</f>
        <v>9</v>
      </c>
    </row>
    <row r="6" spans="2:13" ht="15.5" x14ac:dyDescent="0.35">
      <c r="B6" s="123"/>
      <c r="C6" s="48" t="s">
        <v>577</v>
      </c>
      <c r="D6" s="51">
        <v>1</v>
      </c>
      <c r="E6" s="51">
        <v>2</v>
      </c>
      <c r="F6" s="51">
        <f t="shared" si="0"/>
        <v>3</v>
      </c>
      <c r="G6" s="53"/>
      <c r="H6" s="53"/>
      <c r="I6" s="133"/>
      <c r="J6" s="48" t="s">
        <v>163</v>
      </c>
      <c r="K6" s="51">
        <v>4</v>
      </c>
      <c r="L6" s="51">
        <v>3</v>
      </c>
      <c r="M6" s="51">
        <f t="shared" si="1"/>
        <v>7</v>
      </c>
    </row>
    <row r="7" spans="2:13" ht="15.5" x14ac:dyDescent="0.35">
      <c r="B7" s="123"/>
      <c r="C7" s="48" t="s">
        <v>572</v>
      </c>
      <c r="D7" s="51">
        <v>14</v>
      </c>
      <c r="E7" s="51">
        <v>14</v>
      </c>
      <c r="F7" s="51">
        <f t="shared" si="0"/>
        <v>28</v>
      </c>
      <c r="G7" s="53"/>
      <c r="H7" s="53"/>
      <c r="I7" s="133"/>
      <c r="J7" s="48" t="s">
        <v>577</v>
      </c>
      <c r="K7" s="51">
        <v>5</v>
      </c>
      <c r="L7" s="51">
        <v>4</v>
      </c>
      <c r="M7" s="51">
        <f t="shared" si="1"/>
        <v>9</v>
      </c>
    </row>
    <row r="8" spans="2:13" ht="15.5" x14ac:dyDescent="0.35">
      <c r="B8" s="123"/>
      <c r="C8" s="48" t="s">
        <v>139</v>
      </c>
      <c r="D8" s="51">
        <v>12</v>
      </c>
      <c r="E8" s="51">
        <v>12</v>
      </c>
      <c r="F8" s="51">
        <f t="shared" si="0"/>
        <v>24</v>
      </c>
      <c r="G8" s="53"/>
      <c r="H8" s="53"/>
      <c r="I8" s="133"/>
      <c r="J8" s="48" t="s">
        <v>202</v>
      </c>
      <c r="K8" s="51">
        <v>5</v>
      </c>
      <c r="L8" s="51">
        <v>4</v>
      </c>
      <c r="M8" s="51">
        <f t="shared" si="1"/>
        <v>9</v>
      </c>
    </row>
    <row r="9" spans="2:13" ht="15.5" x14ac:dyDescent="0.35">
      <c r="B9" s="123"/>
      <c r="C9" s="48" t="s">
        <v>570</v>
      </c>
      <c r="D9" s="51">
        <v>13</v>
      </c>
      <c r="E9" s="51">
        <v>14</v>
      </c>
      <c r="F9" s="51">
        <f t="shared" si="0"/>
        <v>27</v>
      </c>
      <c r="G9" s="53"/>
      <c r="H9" s="53"/>
      <c r="I9" s="133"/>
      <c r="J9" s="48" t="s">
        <v>540</v>
      </c>
      <c r="K9" s="51">
        <v>5</v>
      </c>
      <c r="L9" s="51">
        <v>4</v>
      </c>
      <c r="M9" s="51">
        <f t="shared" si="1"/>
        <v>9</v>
      </c>
    </row>
    <row r="10" spans="2:13" ht="15.75" customHeight="1" x14ac:dyDescent="0.35">
      <c r="B10" s="123"/>
      <c r="C10" s="59" t="s">
        <v>26</v>
      </c>
      <c r="D10" s="51">
        <v>5</v>
      </c>
      <c r="E10" s="51">
        <v>5</v>
      </c>
      <c r="F10" s="51">
        <f t="shared" si="0"/>
        <v>10</v>
      </c>
      <c r="G10" s="53"/>
      <c r="H10" s="53"/>
      <c r="I10" s="133"/>
      <c r="J10" s="48" t="s">
        <v>329</v>
      </c>
      <c r="K10" s="51">
        <v>4</v>
      </c>
      <c r="L10" s="51">
        <v>5</v>
      </c>
      <c r="M10" s="51">
        <f t="shared" si="1"/>
        <v>9</v>
      </c>
    </row>
    <row r="11" spans="2:13" ht="17.25" customHeight="1" x14ac:dyDescent="0.35">
      <c r="B11" s="123"/>
      <c r="C11" s="59" t="s">
        <v>49</v>
      </c>
      <c r="D11" s="51">
        <v>5</v>
      </c>
      <c r="E11" s="51">
        <v>5</v>
      </c>
      <c r="F11" s="51">
        <f t="shared" si="0"/>
        <v>10</v>
      </c>
      <c r="G11" s="53"/>
      <c r="H11" s="53"/>
      <c r="I11" s="133"/>
      <c r="J11" s="48" t="s">
        <v>26</v>
      </c>
      <c r="K11" s="51">
        <v>0</v>
      </c>
      <c r="L11" s="51">
        <v>1</v>
      </c>
      <c r="M11" s="51">
        <f t="shared" si="1"/>
        <v>1</v>
      </c>
    </row>
    <row r="12" spans="2:13" ht="15.5" x14ac:dyDescent="0.35">
      <c r="B12" s="123"/>
      <c r="C12" s="48" t="s">
        <v>329</v>
      </c>
      <c r="D12" s="51">
        <v>1</v>
      </c>
      <c r="E12" s="51">
        <v>2</v>
      </c>
      <c r="F12" s="51">
        <f t="shared" si="0"/>
        <v>3</v>
      </c>
      <c r="G12" s="53"/>
      <c r="H12" s="53"/>
      <c r="I12" s="133"/>
      <c r="J12" s="48" t="s">
        <v>49</v>
      </c>
      <c r="K12" s="52">
        <v>1</v>
      </c>
      <c r="L12" s="52">
        <v>0</v>
      </c>
      <c r="M12" s="52">
        <f t="shared" si="1"/>
        <v>1</v>
      </c>
    </row>
    <row r="13" spans="2:13" ht="15.5" x14ac:dyDescent="0.35">
      <c r="B13" s="123"/>
      <c r="C13" s="48" t="s">
        <v>202</v>
      </c>
      <c r="D13" s="51">
        <v>1</v>
      </c>
      <c r="E13" s="51">
        <v>0</v>
      </c>
      <c r="F13" s="51">
        <f t="shared" si="0"/>
        <v>1</v>
      </c>
      <c r="G13" s="53"/>
      <c r="H13" s="53"/>
      <c r="I13" s="64"/>
      <c r="J13" s="65"/>
      <c r="K13" s="57"/>
      <c r="L13" s="57"/>
      <c r="M13" s="57"/>
    </row>
    <row r="14" spans="2:13" x14ac:dyDescent="0.35">
      <c r="B14" s="124"/>
      <c r="C14" s="51"/>
      <c r="D14" s="51"/>
      <c r="E14" s="51"/>
      <c r="F14" s="56">
        <f>SUM(F4:F13)</f>
        <v>136</v>
      </c>
      <c r="G14" s="53"/>
      <c r="H14" s="53"/>
      <c r="I14" s="53"/>
      <c r="J14" s="53"/>
      <c r="K14" s="53"/>
      <c r="L14" s="53"/>
      <c r="M14" s="53"/>
    </row>
    <row r="15" spans="2:13" x14ac:dyDescent="0.35">
      <c r="B15" s="61"/>
      <c r="C15" s="62"/>
      <c r="D15" s="62"/>
      <c r="E15" s="62"/>
      <c r="F15" s="63"/>
      <c r="G15" s="53"/>
      <c r="H15" s="53"/>
      <c r="I15" s="53"/>
      <c r="J15" s="53"/>
      <c r="K15" s="53"/>
      <c r="L15" s="53"/>
      <c r="M15" s="53"/>
    </row>
    <row r="16" spans="2:13" x14ac:dyDescent="0.35">
      <c r="B16" s="53"/>
      <c r="C16" s="53"/>
      <c r="D16" s="53"/>
      <c r="E16" s="53"/>
      <c r="F16" s="57"/>
      <c r="G16" s="53"/>
      <c r="H16" s="53"/>
      <c r="I16" s="53"/>
      <c r="J16" s="53"/>
      <c r="K16" s="53"/>
      <c r="L16" s="53"/>
      <c r="M16" s="53"/>
    </row>
    <row r="17" spans="2:13" x14ac:dyDescent="0.35">
      <c r="B17" s="125" t="s">
        <v>593</v>
      </c>
      <c r="C17" s="52" t="s">
        <v>592</v>
      </c>
      <c r="D17" s="51" t="s">
        <v>590</v>
      </c>
      <c r="E17" s="51" t="s">
        <v>591</v>
      </c>
      <c r="F17" s="51" t="s">
        <v>595</v>
      </c>
      <c r="G17" s="53"/>
      <c r="H17" s="53"/>
      <c r="I17" s="128" t="s">
        <v>596</v>
      </c>
      <c r="J17" s="52" t="s">
        <v>592</v>
      </c>
      <c r="K17" s="52" t="s">
        <v>590</v>
      </c>
      <c r="L17" s="52" t="s">
        <v>591</v>
      </c>
      <c r="M17" s="52" t="s">
        <v>597</v>
      </c>
    </row>
    <row r="18" spans="2:13" ht="15.5" x14ac:dyDescent="0.35">
      <c r="B18" s="126"/>
      <c r="C18" s="48" t="s">
        <v>64</v>
      </c>
      <c r="D18" s="51">
        <v>10</v>
      </c>
      <c r="E18" s="51">
        <v>10</v>
      </c>
      <c r="F18" s="51">
        <f>D18+E18</f>
        <v>20</v>
      </c>
      <c r="G18" s="53"/>
      <c r="H18" s="53"/>
      <c r="I18" s="129"/>
      <c r="J18" s="48" t="s">
        <v>26</v>
      </c>
      <c r="K18" s="52">
        <v>7</v>
      </c>
      <c r="L18" s="52">
        <v>8</v>
      </c>
      <c r="M18" s="52">
        <f>K18+L18</f>
        <v>15</v>
      </c>
    </row>
    <row r="19" spans="2:13" ht="15.5" x14ac:dyDescent="0.35">
      <c r="B19" s="126"/>
      <c r="C19" s="48" t="s">
        <v>378</v>
      </c>
      <c r="D19" s="51">
        <v>8</v>
      </c>
      <c r="E19" s="51">
        <v>9</v>
      </c>
      <c r="F19" s="51">
        <f t="shared" ref="F19:F24" si="2">D19+E19</f>
        <v>17</v>
      </c>
      <c r="G19" s="53"/>
      <c r="H19" s="53"/>
      <c r="I19" s="129"/>
      <c r="J19" s="48" t="s">
        <v>49</v>
      </c>
      <c r="K19" s="52">
        <v>8</v>
      </c>
      <c r="L19" s="52">
        <v>7</v>
      </c>
      <c r="M19" s="52">
        <f>K19+L19</f>
        <v>15</v>
      </c>
    </row>
    <row r="20" spans="2:13" ht="15.5" x14ac:dyDescent="0.35">
      <c r="B20" s="126"/>
      <c r="C20" s="48" t="s">
        <v>163</v>
      </c>
      <c r="D20" s="51">
        <v>10</v>
      </c>
      <c r="E20" s="51">
        <v>8</v>
      </c>
      <c r="F20" s="51">
        <f t="shared" si="2"/>
        <v>18</v>
      </c>
      <c r="G20" s="53"/>
      <c r="H20" s="53"/>
      <c r="I20" s="130"/>
      <c r="J20" s="55"/>
      <c r="K20" s="52"/>
      <c r="L20" s="52"/>
      <c r="M20" s="58">
        <f>SUM(M18:M19)</f>
        <v>30</v>
      </c>
    </row>
    <row r="21" spans="2:13" ht="15.5" x14ac:dyDescent="0.35">
      <c r="B21" s="126"/>
      <c r="C21" s="48" t="s">
        <v>577</v>
      </c>
      <c r="D21" s="51">
        <v>6</v>
      </c>
      <c r="E21" s="51">
        <v>8</v>
      </c>
      <c r="F21" s="51">
        <f t="shared" si="2"/>
        <v>14</v>
      </c>
      <c r="G21" s="53"/>
      <c r="H21" s="53"/>
      <c r="I21" s="53"/>
      <c r="J21" s="53"/>
      <c r="K21" s="53"/>
      <c r="L21" s="53"/>
      <c r="M21" s="53"/>
    </row>
    <row r="22" spans="2:13" ht="15.5" x14ac:dyDescent="0.35">
      <c r="B22" s="126"/>
      <c r="C22" s="48" t="s">
        <v>202</v>
      </c>
      <c r="D22" s="51">
        <v>8</v>
      </c>
      <c r="E22" s="51">
        <v>5</v>
      </c>
      <c r="F22" s="51">
        <f t="shared" si="2"/>
        <v>13</v>
      </c>
      <c r="G22" s="53"/>
      <c r="H22" s="53"/>
      <c r="I22" s="53"/>
      <c r="J22" s="53"/>
      <c r="K22" s="53"/>
      <c r="L22" s="53"/>
      <c r="M22" s="53"/>
    </row>
    <row r="23" spans="2:13" ht="15.5" x14ac:dyDescent="0.35">
      <c r="B23" s="126"/>
      <c r="C23" s="48" t="s">
        <v>540</v>
      </c>
      <c r="D23" s="51">
        <v>8</v>
      </c>
      <c r="E23" s="51">
        <v>9</v>
      </c>
      <c r="F23" s="51">
        <f t="shared" si="2"/>
        <v>17</v>
      </c>
      <c r="G23" s="53"/>
      <c r="H23" s="53"/>
      <c r="I23" s="53"/>
      <c r="J23" s="53"/>
      <c r="K23" s="53"/>
      <c r="L23" s="53"/>
      <c r="M23" s="53"/>
    </row>
    <row r="24" spans="2:13" ht="15.5" x14ac:dyDescent="0.35">
      <c r="B24" s="126"/>
      <c r="C24" s="48" t="s">
        <v>329</v>
      </c>
      <c r="D24" s="51">
        <v>8</v>
      </c>
      <c r="E24" s="51">
        <v>9</v>
      </c>
      <c r="F24" s="51">
        <f t="shared" si="2"/>
        <v>17</v>
      </c>
      <c r="G24" s="53"/>
      <c r="H24" s="53"/>
      <c r="I24" s="131" t="s">
        <v>598</v>
      </c>
      <c r="J24" s="48" t="s">
        <v>74</v>
      </c>
      <c r="K24" s="55">
        <f>F4</f>
        <v>26</v>
      </c>
      <c r="L24" s="53"/>
      <c r="M24" s="53"/>
    </row>
    <row r="25" spans="2:13" ht="15.5" x14ac:dyDescent="0.35">
      <c r="B25" s="127"/>
      <c r="C25" s="55"/>
      <c r="D25" s="51"/>
      <c r="E25" s="51"/>
      <c r="F25" s="56">
        <f>SUM(F18:F24)</f>
        <v>116</v>
      </c>
      <c r="G25" s="53"/>
      <c r="H25" s="53"/>
      <c r="I25" s="131"/>
      <c r="J25" s="48" t="s">
        <v>570</v>
      </c>
      <c r="K25" s="55">
        <f>F9</f>
        <v>27</v>
      </c>
      <c r="L25" s="53"/>
      <c r="M25" s="53"/>
    </row>
    <row r="26" spans="2:13" ht="15.5" x14ac:dyDescent="0.35">
      <c r="I26" s="131"/>
      <c r="J26" s="48" t="s">
        <v>572</v>
      </c>
      <c r="K26" s="49">
        <f>F7</f>
        <v>28</v>
      </c>
    </row>
    <row r="27" spans="2:13" ht="15.5" x14ac:dyDescent="0.35">
      <c r="I27" s="131"/>
      <c r="J27" s="48" t="s">
        <v>139</v>
      </c>
      <c r="K27" s="49">
        <f>F8</f>
        <v>24</v>
      </c>
    </row>
    <row r="28" spans="2:13" ht="15.5" x14ac:dyDescent="0.35">
      <c r="I28" s="131"/>
      <c r="J28" s="59" t="s">
        <v>202</v>
      </c>
      <c r="K28" s="49">
        <f>F13+M8+F22</f>
        <v>23</v>
      </c>
      <c r="L28" s="60" t="s">
        <v>601</v>
      </c>
    </row>
    <row r="29" spans="2:13" ht="15.5" x14ac:dyDescent="0.35">
      <c r="I29" s="131"/>
      <c r="J29" s="48" t="s">
        <v>329</v>
      </c>
      <c r="K29" s="49">
        <f>F12+M10+F24</f>
        <v>29</v>
      </c>
    </row>
    <row r="30" spans="2:13" ht="15.5" x14ac:dyDescent="0.35">
      <c r="I30" s="131"/>
      <c r="J30" s="59" t="s">
        <v>577</v>
      </c>
      <c r="K30" s="49">
        <f>F6+F21+M7</f>
        <v>26</v>
      </c>
      <c r="L30" s="60" t="s">
        <v>599</v>
      </c>
    </row>
    <row r="31" spans="2:13" ht="15.5" x14ac:dyDescent="0.35">
      <c r="I31" s="131"/>
      <c r="J31" s="48" t="s">
        <v>378</v>
      </c>
      <c r="K31" s="49">
        <f>F19+M5</f>
        <v>26</v>
      </c>
    </row>
    <row r="32" spans="2:13" ht="15.5" x14ac:dyDescent="0.35">
      <c r="I32" s="131"/>
      <c r="J32" s="48" t="s">
        <v>540</v>
      </c>
      <c r="K32" s="49">
        <f>F23+M9</f>
        <v>26</v>
      </c>
    </row>
    <row r="33" spans="9:12" ht="15.5" x14ac:dyDescent="0.35">
      <c r="I33" s="131"/>
      <c r="J33" s="48" t="s">
        <v>163</v>
      </c>
      <c r="K33" s="49">
        <f>F5+F20+M6</f>
        <v>29</v>
      </c>
    </row>
    <row r="34" spans="9:12" ht="15.5" x14ac:dyDescent="0.35">
      <c r="I34" s="131"/>
      <c r="J34" s="48" t="s">
        <v>64</v>
      </c>
      <c r="K34" s="49">
        <f>F18+M4</f>
        <v>26</v>
      </c>
    </row>
    <row r="35" spans="9:12" ht="18.75" customHeight="1" x14ac:dyDescent="0.35">
      <c r="I35" s="131"/>
      <c r="J35" s="59" t="s">
        <v>26</v>
      </c>
      <c r="K35" s="49">
        <f>F10+M18</f>
        <v>25</v>
      </c>
      <c r="L35" s="60" t="s">
        <v>600</v>
      </c>
    </row>
    <row r="36" spans="9:12" ht="15.5" x14ac:dyDescent="0.35">
      <c r="I36" s="131"/>
      <c r="J36" s="59" t="s">
        <v>49</v>
      </c>
      <c r="K36" s="49">
        <f>F11+M19</f>
        <v>25</v>
      </c>
      <c r="L36" s="60" t="s">
        <v>600</v>
      </c>
    </row>
  </sheetData>
  <mergeCells count="5">
    <mergeCell ref="B3:B14"/>
    <mergeCell ref="B17:B25"/>
    <mergeCell ref="I17:I20"/>
    <mergeCell ref="I24:I36"/>
    <mergeCell ref="I3:I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"/>
  <sheetViews>
    <sheetView workbookViewId="0">
      <selection activeCell="B11" sqref="B11"/>
    </sheetView>
  </sheetViews>
  <sheetFormatPr defaultRowHeight="14.5" x14ac:dyDescent="0.35"/>
  <cols>
    <col min="1" max="1" width="50.81640625" customWidth="1"/>
    <col min="2" max="2" width="13.1796875" bestFit="1" customWidth="1"/>
    <col min="7" max="7" width="39.7265625" style="40" customWidth="1"/>
    <col min="8" max="8" width="38.1796875" style="40" customWidth="1"/>
  </cols>
  <sheetData>
    <row r="1" spans="1:11" ht="15.5" x14ac:dyDescent="0.35">
      <c r="A1" s="1" t="s">
        <v>202</v>
      </c>
      <c r="B1" t="s">
        <v>568</v>
      </c>
    </row>
    <row r="2" spans="1:11" ht="15.5" x14ac:dyDescent="0.35">
      <c r="A2" s="1" t="s">
        <v>74</v>
      </c>
      <c r="B2" t="s">
        <v>569</v>
      </c>
    </row>
    <row r="3" spans="1:11" ht="15.5" x14ac:dyDescent="0.35">
      <c r="A3" s="18" t="s">
        <v>329</v>
      </c>
      <c r="B3" t="s">
        <v>568</v>
      </c>
      <c r="G3" s="1" t="s">
        <v>202</v>
      </c>
      <c r="H3" s="1" t="s">
        <v>163</v>
      </c>
      <c r="J3" s="40"/>
      <c r="K3" s="40"/>
    </row>
    <row r="4" spans="1:11" ht="31" x14ac:dyDescent="0.35">
      <c r="A4" s="18" t="s">
        <v>577</v>
      </c>
      <c r="B4" t="s">
        <v>568</v>
      </c>
      <c r="G4" s="1" t="s">
        <v>329</v>
      </c>
      <c r="H4" s="1" t="s">
        <v>378</v>
      </c>
      <c r="J4" s="40"/>
      <c r="K4" s="40"/>
    </row>
    <row r="5" spans="1:11" ht="108.5" x14ac:dyDescent="0.35">
      <c r="A5" s="18" t="s">
        <v>570</v>
      </c>
      <c r="B5" t="s">
        <v>569</v>
      </c>
      <c r="G5" s="1" t="s">
        <v>378</v>
      </c>
      <c r="H5" s="1" t="s">
        <v>329</v>
      </c>
      <c r="J5" s="1" t="s">
        <v>341</v>
      </c>
      <c r="K5" t="s">
        <v>571</v>
      </c>
    </row>
    <row r="6" spans="1:11" ht="15.5" x14ac:dyDescent="0.35">
      <c r="A6" s="18" t="s">
        <v>378</v>
      </c>
      <c r="B6" t="s">
        <v>568</v>
      </c>
      <c r="G6" s="1" t="s">
        <v>540</v>
      </c>
      <c r="H6" s="1" t="s">
        <v>64</v>
      </c>
      <c r="J6" s="40"/>
      <c r="K6" s="40"/>
    </row>
    <row r="7" spans="1:11" ht="15.5" x14ac:dyDescent="0.35">
      <c r="A7" s="18" t="s">
        <v>540</v>
      </c>
      <c r="B7" t="s">
        <v>568</v>
      </c>
      <c r="G7" s="1" t="s">
        <v>163</v>
      </c>
      <c r="H7" s="1" t="s">
        <v>202</v>
      </c>
    </row>
    <row r="8" spans="1:11" ht="15.5" x14ac:dyDescent="0.35">
      <c r="A8" s="18" t="s">
        <v>572</v>
      </c>
      <c r="B8" t="s">
        <v>569</v>
      </c>
      <c r="G8" s="1" t="s">
        <v>64</v>
      </c>
      <c r="H8" s="1" t="s">
        <v>540</v>
      </c>
    </row>
    <row r="9" spans="1:11" ht="15.5" x14ac:dyDescent="0.35">
      <c r="A9" s="1" t="s">
        <v>139</v>
      </c>
      <c r="B9" t="s">
        <v>569</v>
      </c>
    </row>
    <row r="10" spans="1:11" ht="15.5" x14ac:dyDescent="0.35">
      <c r="A10" s="18" t="s">
        <v>163</v>
      </c>
      <c r="B10" t="s">
        <v>568</v>
      </c>
      <c r="G10" s="1" t="s">
        <v>74</v>
      </c>
      <c r="H10" s="1" t="s">
        <v>139</v>
      </c>
    </row>
    <row r="11" spans="1:11" ht="15.5" x14ac:dyDescent="0.35">
      <c r="A11" s="18" t="s">
        <v>64</v>
      </c>
      <c r="B11" t="s">
        <v>568</v>
      </c>
      <c r="G11" s="1" t="s">
        <v>139</v>
      </c>
      <c r="H11" s="1" t="s">
        <v>74</v>
      </c>
    </row>
    <row r="12" spans="1:11" ht="15.5" x14ac:dyDescent="0.35">
      <c r="A12" s="18" t="s">
        <v>26</v>
      </c>
      <c r="B12" t="s">
        <v>571</v>
      </c>
    </row>
    <row r="13" spans="1:11" ht="15.5" x14ac:dyDescent="0.35">
      <c r="A13" s="18" t="s">
        <v>49</v>
      </c>
      <c r="B13" t="s">
        <v>571</v>
      </c>
      <c r="G13" s="1" t="s">
        <v>163</v>
      </c>
      <c r="H13" s="1" t="s">
        <v>572</v>
      </c>
    </row>
    <row r="14" spans="1:11" ht="15.5" x14ac:dyDescent="0.35">
      <c r="G14" s="1" t="s">
        <v>363</v>
      </c>
      <c r="H14" s="1" t="s">
        <v>570</v>
      </c>
    </row>
    <row r="15" spans="1:11" ht="15.5" x14ac:dyDescent="0.35">
      <c r="G15" s="1" t="s">
        <v>570</v>
      </c>
      <c r="H15" s="1" t="s">
        <v>363</v>
      </c>
    </row>
    <row r="16" spans="1:11" ht="15.5" x14ac:dyDescent="0.35">
      <c r="A16" s="1" t="s">
        <v>24</v>
      </c>
      <c r="B16" t="s">
        <v>568</v>
      </c>
      <c r="G16" s="1" t="s">
        <v>572</v>
      </c>
      <c r="H16" s="1" t="s">
        <v>163</v>
      </c>
    </row>
    <row r="17" spans="1:12" ht="15.5" x14ac:dyDescent="0.35">
      <c r="A17" s="1" t="s">
        <v>19</v>
      </c>
      <c r="B17" t="s">
        <v>569</v>
      </c>
    </row>
    <row r="18" spans="1:12" ht="15.5" x14ac:dyDescent="0.35">
      <c r="A18" s="1" t="s">
        <v>20</v>
      </c>
      <c r="B18" t="s">
        <v>569</v>
      </c>
    </row>
    <row r="19" spans="1:12" ht="31" x14ac:dyDescent="0.35">
      <c r="A19" s="1" t="s">
        <v>25</v>
      </c>
      <c r="B19" t="s">
        <v>568</v>
      </c>
      <c r="F19">
        <v>8</v>
      </c>
      <c r="G19" s="1" t="s">
        <v>49</v>
      </c>
      <c r="H19" s="1" t="s">
        <v>20</v>
      </c>
      <c r="L19">
        <f>13+9+5</f>
        <v>27</v>
      </c>
    </row>
    <row r="20" spans="1:12" ht="31" x14ac:dyDescent="0.35">
      <c r="A20" s="1" t="s">
        <v>34</v>
      </c>
      <c r="B20" t="s">
        <v>568</v>
      </c>
      <c r="F20">
        <v>8</v>
      </c>
      <c r="G20" s="1" t="s">
        <v>26</v>
      </c>
      <c r="H20" s="1" t="s">
        <v>19</v>
      </c>
      <c r="L20">
        <f>+L19/2</f>
        <v>13.5</v>
      </c>
    </row>
    <row r="21" spans="1:12" ht="15.5" x14ac:dyDescent="0.35">
      <c r="A21" s="1" t="s">
        <v>49</v>
      </c>
      <c r="B21" t="s">
        <v>571</v>
      </c>
      <c r="G21" s="1" t="s">
        <v>24</v>
      </c>
      <c r="H21" s="1" t="s">
        <v>19</v>
      </c>
    </row>
    <row r="22" spans="1:12" ht="31" x14ac:dyDescent="0.35">
      <c r="A22" s="1" t="s">
        <v>45</v>
      </c>
      <c r="B22" t="s">
        <v>569</v>
      </c>
      <c r="G22" s="1" t="s">
        <v>25</v>
      </c>
      <c r="H22" s="1" t="s">
        <v>20</v>
      </c>
    </row>
    <row r="23" spans="1:12" ht="15.5" x14ac:dyDescent="0.35">
      <c r="A23" s="1" t="s">
        <v>38</v>
      </c>
      <c r="B23" t="s">
        <v>568</v>
      </c>
      <c r="G23" s="1" t="s">
        <v>34</v>
      </c>
      <c r="H23" s="1" t="s">
        <v>45</v>
      </c>
    </row>
    <row r="24" spans="1:12" ht="31" x14ac:dyDescent="0.35">
      <c r="A24" s="1" t="s">
        <v>26</v>
      </c>
      <c r="B24" t="s">
        <v>571</v>
      </c>
      <c r="G24" s="1" t="s">
        <v>38</v>
      </c>
      <c r="H24" s="1" t="s">
        <v>45</v>
      </c>
    </row>
    <row r="25" spans="1:12" ht="31" x14ac:dyDescent="0.35">
      <c r="A25" s="18"/>
      <c r="G25" s="1" t="s">
        <v>19</v>
      </c>
      <c r="H25" s="1" t="s">
        <v>20</v>
      </c>
    </row>
    <row r="26" spans="1:12" ht="15.5" x14ac:dyDescent="0.35">
      <c r="G26" s="1" t="s">
        <v>20</v>
      </c>
      <c r="H26" s="1" t="s">
        <v>19</v>
      </c>
    </row>
    <row r="27" spans="1:12" ht="15.5" x14ac:dyDescent="0.35">
      <c r="G27" s="1" t="s">
        <v>45</v>
      </c>
      <c r="H27" s="1" t="s">
        <v>19</v>
      </c>
    </row>
    <row r="28" spans="1:12" ht="15.5" x14ac:dyDescent="0.35">
      <c r="G28" s="1" t="s">
        <v>19</v>
      </c>
      <c r="H28" s="1" t="s">
        <v>45</v>
      </c>
    </row>
    <row r="29" spans="1:12" ht="31" x14ac:dyDescent="0.35">
      <c r="G29" s="1" t="s">
        <v>45</v>
      </c>
      <c r="H29" s="1" t="s">
        <v>20</v>
      </c>
    </row>
    <row r="30" spans="1:12" ht="15.5" x14ac:dyDescent="0.35">
      <c r="G30" s="1" t="s">
        <v>20</v>
      </c>
      <c r="H30" s="1" t="s">
        <v>45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>
      <selection activeCell="B13" sqref="B13"/>
    </sheetView>
  </sheetViews>
  <sheetFormatPr defaultRowHeight="14.5" x14ac:dyDescent="0.35"/>
  <cols>
    <col min="1" max="1" width="4.54296875" bestFit="1" customWidth="1"/>
    <col min="2" max="2" width="54.26953125" bestFit="1" customWidth="1"/>
    <col min="3" max="3" width="14.26953125" bestFit="1" customWidth="1"/>
  </cols>
  <sheetData>
    <row r="1" spans="1:3" ht="30.5" x14ac:dyDescent="0.35">
      <c r="A1" s="42" t="s">
        <v>573</v>
      </c>
      <c r="B1" s="43" t="s">
        <v>574</v>
      </c>
      <c r="C1" s="43" t="s">
        <v>575</v>
      </c>
    </row>
    <row r="2" spans="1:3" ht="15.5" x14ac:dyDescent="0.35">
      <c r="A2" s="44">
        <v>1</v>
      </c>
      <c r="B2" s="45" t="s">
        <v>45</v>
      </c>
      <c r="C2" s="44" t="s">
        <v>576</v>
      </c>
    </row>
    <row r="3" spans="1:3" ht="15.5" x14ac:dyDescent="0.35">
      <c r="A3" s="44">
        <v>2</v>
      </c>
      <c r="B3" s="45" t="s">
        <v>20</v>
      </c>
      <c r="C3" s="44" t="s">
        <v>576</v>
      </c>
    </row>
    <row r="4" spans="1:3" ht="15.5" x14ac:dyDescent="0.35">
      <c r="A4" s="44">
        <v>3</v>
      </c>
      <c r="B4" s="46" t="s">
        <v>38</v>
      </c>
      <c r="C4" s="44" t="s">
        <v>568</v>
      </c>
    </row>
    <row r="5" spans="1:3" ht="15.5" x14ac:dyDescent="0.35">
      <c r="A5" s="44">
        <v>4</v>
      </c>
      <c r="B5" s="45" t="s">
        <v>24</v>
      </c>
      <c r="C5" s="44" t="s">
        <v>568</v>
      </c>
    </row>
    <row r="6" spans="1:3" ht="15.5" x14ac:dyDescent="0.35">
      <c r="A6" s="44">
        <v>5</v>
      </c>
      <c r="B6" s="45" t="s">
        <v>25</v>
      </c>
      <c r="C6" s="44" t="s">
        <v>568</v>
      </c>
    </row>
    <row r="7" spans="1:3" ht="15.5" x14ac:dyDescent="0.35">
      <c r="A7" s="44">
        <v>6</v>
      </c>
      <c r="B7" s="45" t="s">
        <v>34</v>
      </c>
      <c r="C7" s="44" t="s">
        <v>568</v>
      </c>
    </row>
    <row r="8" spans="1:3" ht="15.5" x14ac:dyDescent="0.35">
      <c r="A8" s="44">
        <v>7</v>
      </c>
      <c r="B8" s="45" t="s">
        <v>19</v>
      </c>
      <c r="C8" s="44" t="s">
        <v>576</v>
      </c>
    </row>
    <row r="9" spans="1:3" ht="15.5" x14ac:dyDescent="0.35">
      <c r="A9" s="44">
        <v>8</v>
      </c>
      <c r="B9" s="45" t="s">
        <v>26</v>
      </c>
      <c r="C9" s="44" t="s">
        <v>571</v>
      </c>
    </row>
    <row r="10" spans="1:3" ht="15.5" x14ac:dyDescent="0.35">
      <c r="A10" s="44">
        <v>9</v>
      </c>
      <c r="B10" s="45" t="s">
        <v>49</v>
      </c>
      <c r="C10" s="44" t="s">
        <v>571</v>
      </c>
    </row>
    <row r="11" spans="1:3" ht="15.5" x14ac:dyDescent="0.35">
      <c r="A11" s="44">
        <v>10</v>
      </c>
      <c r="B11" s="45" t="s">
        <v>207</v>
      </c>
      <c r="C11" s="44" t="s">
        <v>576</v>
      </c>
    </row>
    <row r="12" spans="1:3" ht="15.5" x14ac:dyDescent="0.35">
      <c r="A12" s="44">
        <v>11</v>
      </c>
      <c r="B12" s="45" t="s">
        <v>565</v>
      </c>
      <c r="C12" s="44" t="s">
        <v>568</v>
      </c>
    </row>
    <row r="13" spans="1:3" ht="15.5" x14ac:dyDescent="0.35">
      <c r="A13" s="44">
        <v>12</v>
      </c>
      <c r="B13" s="45" t="s">
        <v>566</v>
      </c>
      <c r="C13" s="44" t="s">
        <v>568</v>
      </c>
    </row>
    <row r="14" spans="1:3" ht="15.5" x14ac:dyDescent="0.35">
      <c r="A14" s="44">
        <v>13</v>
      </c>
      <c r="B14" s="45" t="s">
        <v>310</v>
      </c>
      <c r="C14" s="44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pembagian asesor</vt:lpstr>
      <vt:lpstr>Pembagian Asesor FIX</vt:lpstr>
      <vt:lpstr>Rekapitulasi</vt:lpstr>
      <vt:lpstr>nama asesor</vt:lpstr>
      <vt:lpstr>Sheet3</vt:lpstr>
      <vt:lpstr>'pembagian asesor'!Print_Area</vt:lpstr>
      <vt:lpstr>'Pembagian Asesor FIX'!Print_Area</vt:lpstr>
      <vt:lpstr>'pembagian asesor'!Print_Titles</vt:lpstr>
      <vt:lpstr>'Pembagian Asesor FIX'!Print_Titles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SDM FIB UI</cp:lastModifiedBy>
  <cp:revision/>
  <cp:lastPrinted>2026-06-03T02:05:50Z</cp:lastPrinted>
  <dcterms:created xsi:type="dcterms:W3CDTF">2022-01-17T08:42:11Z</dcterms:created>
  <dcterms:modified xsi:type="dcterms:W3CDTF">2026-07-28T04:44:10Z</dcterms:modified>
  <cp:category/>
  <cp:contentStatus/>
</cp:coreProperties>
</file>